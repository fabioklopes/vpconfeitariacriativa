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91edc9389ffc9f/Documentos_Confeitaria/"/>
    </mc:Choice>
  </mc:AlternateContent>
  <xr:revisionPtr revIDLastSave="139" documentId="13_ncr:1_{A21D6A2A-BB76-4665-9586-9A4D52EEF255}" xr6:coauthVersionLast="47" xr6:coauthVersionMax="47" xr10:uidLastSave="{72A87668-B9B4-4BF1-88F5-FC2329C75418}"/>
  <bookViews>
    <workbookView xWindow="-120" yWindow="-120" windowWidth="38640" windowHeight="15720" tabRatio="957" firstSheet="15" activeTab="22" xr2:uid="{00000000-000D-0000-FFFF-FFFF00000000}"/>
  </bookViews>
  <sheets>
    <sheet name="Bem Casado" sheetId="65" r:id="rId1"/>
    <sheet name="cesta  Personalizada" sheetId="104" r:id="rId2"/>
    <sheet name="cesta Simples" sheetId="105" r:id="rId3"/>
    <sheet name="Pasta de Leite em pó" sheetId="33" r:id="rId4"/>
    <sheet name="arroz Doce" sheetId="114" r:id="rId5"/>
    <sheet name="Pasta de chocolate" sheetId="22" r:id="rId6"/>
    <sheet name="massa de bolo meia receita" sheetId="84" r:id="rId7"/>
    <sheet name="Biscoitos decorados (2)" sheetId="118" r:id="rId8"/>
    <sheet name="Bolo 1kg" sheetId="32" r:id="rId9"/>
    <sheet name="Mini BOlo" sheetId="88" r:id="rId10"/>
    <sheet name="Recheio Bolo de pote" sheetId="85" r:id="rId11"/>
    <sheet name="Bolo de pote" sheetId="37" r:id="rId12"/>
    <sheet name="B. Cenoura mo pote" sheetId="97" r:id="rId13"/>
    <sheet name="Sonho" sheetId="55" r:id="rId14"/>
    <sheet name="Pipoca caramelada" sheetId="99" r:id="rId15"/>
    <sheet name="Pipoca Ninho" sheetId="100" r:id="rId16"/>
    <sheet name="Biscoitos decorados" sheetId="117" r:id="rId17"/>
    <sheet name="cone trufado 80g" sheetId="53" r:id="rId18"/>
    <sheet name="bolo no palito" sheetId="27" r:id="rId19"/>
    <sheet name="Trufa M" sheetId="54" r:id="rId20"/>
    <sheet name="Biscoitos estrelinha Natal" sheetId="123" r:id="rId21"/>
    <sheet name="Mini cake donuts" sheetId="124" r:id="rId22"/>
    <sheet name="Biscoitos de gengibre" sheetId="119" r:id="rId23"/>
    <sheet name="BBBrowmie" sheetId="120" r:id="rId24"/>
    <sheet name="pão de mel Boneco" sheetId="122" r:id="rId25"/>
    <sheet name="3 Browmie" sheetId="121" r:id="rId26"/>
    <sheet name="bombom pirâmide " sheetId="116" r:id="rId27"/>
    <sheet name="Mini trufa" sheetId="21" r:id="rId28"/>
    <sheet name="Mini trufa Cereja" sheetId="107" r:id="rId29"/>
    <sheet name="Mini Trufa Coração" sheetId="101" r:id="rId30"/>
    <sheet name="bombom chocolate" sheetId="109" r:id="rId31"/>
    <sheet name="Trufa Quadrado 50g" sheetId="83" r:id="rId32"/>
    <sheet name="PM Quadrado 50g" sheetId="52" r:id="rId33"/>
    <sheet name="pão de mel Medio" sheetId="63" r:id="rId34"/>
    <sheet name="pão de mel Medio 3D" sheetId="43" r:id="rId35"/>
    <sheet name="mini pão de mel" sheetId="24" r:id="rId36"/>
    <sheet name="Pirulito Personalizado" sheetId="102" r:id="rId37"/>
    <sheet name="Pirulito Simples" sheetId="103" r:id="rId38"/>
    <sheet name="Brigadeiro boleado (2)" sheetId="113" r:id="rId39"/>
    <sheet name="Brigadeiro boleado" sheetId="45" r:id="rId40"/>
    <sheet name="Morango do amor" sheetId="110" r:id="rId41"/>
    <sheet name="Recheio trufa tradicional (2)" sheetId="111" r:id="rId42"/>
    <sheet name="Brigadeiro ninho" sheetId="112" r:id="rId43"/>
    <sheet name="Brigadeiro Recheio" sheetId="18" r:id="rId44"/>
    <sheet name="Recheio trufa Rafaelo" sheetId="90" r:id="rId45"/>
    <sheet name="Recheio trufa tradicional" sheetId="108" r:id="rId46"/>
    <sheet name="Trufa pistache" sheetId="62" r:id="rId47"/>
    <sheet name="Geleia frutas vermelhas" sheetId="72" r:id="rId48"/>
    <sheet name="Recheio de Abacaxi" sheetId="86" r:id="rId49"/>
    <sheet name="barra 180g" sheetId="56" r:id="rId50"/>
    <sheet name="Mini Chocot" sheetId="94" r:id="rId51"/>
    <sheet name="Chocot G (2)" sheetId="95" r:id="rId52"/>
    <sheet name="cookie" sheetId="58" r:id="rId53"/>
    <sheet name="Massa Brownie" sheetId="26" r:id="rId54"/>
    <sheet name="Panettone" sheetId="96" r:id="rId55"/>
    <sheet name="bolo de cenoura" sheetId="57" r:id="rId56"/>
    <sheet name="Massa Pão de Mel" sheetId="4" r:id="rId57"/>
    <sheet name="Cupcake" sheetId="17" r:id="rId58"/>
    <sheet name="Gráfico1" sheetId="20" r:id="rId59"/>
    <sheet name="produto M.CC." sheetId="15" r:id="rId60"/>
    <sheet name="produto M.MK." sheetId="11" r:id="rId61"/>
    <sheet name="Instruções" sheetId="14" r:id="rId62"/>
    <sheet name="Custos" sheetId="12" r:id="rId6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23" l="1"/>
  <c r="G22" i="124"/>
  <c r="G19" i="124"/>
  <c r="G18" i="124"/>
  <c r="G11" i="124"/>
  <c r="G17" i="124"/>
  <c r="G16" i="124"/>
  <c r="G15" i="124"/>
  <c r="G14" i="124"/>
  <c r="G13" i="124"/>
  <c r="G12" i="124"/>
  <c r="G10" i="124"/>
  <c r="G9" i="124"/>
  <c r="K8" i="124"/>
  <c r="L13" i="124" s="1"/>
  <c r="G8" i="124"/>
  <c r="K7" i="124"/>
  <c r="L11" i="124" s="1"/>
  <c r="G7" i="124"/>
  <c r="G6" i="124"/>
  <c r="G13" i="94"/>
  <c r="G13" i="45"/>
  <c r="G12" i="45"/>
  <c r="G15" i="123"/>
  <c r="G14" i="123"/>
  <c r="G13" i="123"/>
  <c r="G12" i="123"/>
  <c r="G17" i="123"/>
  <c r="G16" i="123"/>
  <c r="G10" i="123"/>
  <c r="G9" i="123"/>
  <c r="K8" i="123"/>
  <c r="L13" i="123"/>
  <c r="G8" i="123"/>
  <c r="K7" i="123"/>
  <c r="L11" i="123"/>
  <c r="G7" i="123"/>
  <c r="G6" i="123"/>
  <c r="G13" i="95"/>
  <c r="G12" i="95"/>
  <c r="G11" i="95"/>
  <c r="G12" i="94"/>
  <c r="G11" i="94"/>
  <c r="G10" i="94"/>
  <c r="G9" i="95"/>
  <c r="G10" i="95"/>
  <c r="G17" i="122"/>
  <c r="G16" i="122"/>
  <c r="G15" i="122"/>
  <c r="G14" i="122"/>
  <c r="G13" i="122"/>
  <c r="G12" i="122"/>
  <c r="L11" i="122"/>
  <c r="G11" i="122"/>
  <c r="G10" i="122"/>
  <c r="G9" i="122"/>
  <c r="K8" i="122"/>
  <c r="L13" i="122"/>
  <c r="G8" i="122"/>
  <c r="K7" i="122"/>
  <c r="G7" i="122"/>
  <c r="G6" i="122"/>
  <c r="G14" i="121"/>
  <c r="G11" i="121"/>
  <c r="G17" i="121"/>
  <c r="G16" i="121"/>
  <c r="G13" i="121"/>
  <c r="L11" i="121"/>
  <c r="G10" i="121"/>
  <c r="G9" i="121"/>
  <c r="K8" i="121"/>
  <c r="L13" i="121"/>
  <c r="G8" i="121"/>
  <c r="K7" i="121"/>
  <c r="G7" i="121"/>
  <c r="G6" i="121"/>
  <c r="G7" i="120"/>
  <c r="G8" i="120"/>
  <c r="G9" i="120"/>
  <c r="G10" i="120"/>
  <c r="G11" i="120"/>
  <c r="G13" i="120"/>
  <c r="G18" i="120"/>
  <c r="G16" i="120"/>
  <c r="G17" i="120"/>
  <c r="K8" i="120"/>
  <c r="L13" i="120"/>
  <c r="K7" i="120"/>
  <c r="L11" i="120"/>
  <c r="G6" i="120"/>
  <c r="G11" i="119"/>
  <c r="G13" i="119"/>
  <c r="G23" i="119"/>
  <c r="L31" i="119"/>
  <c r="L32" i="119"/>
  <c r="G6" i="119"/>
  <c r="G7" i="119"/>
  <c r="G8" i="119"/>
  <c r="G9" i="119"/>
  <c r="G10" i="119"/>
  <c r="G12" i="119"/>
  <c r="G14" i="119"/>
  <c r="G15" i="119"/>
  <c r="G16" i="119"/>
  <c r="G17" i="119"/>
  <c r="K7" i="119"/>
  <c r="L11" i="119"/>
  <c r="L14" i="119" s="1"/>
  <c r="K8" i="119"/>
  <c r="L13" i="119"/>
  <c r="G17" i="118"/>
  <c r="G16" i="118"/>
  <c r="G10" i="118"/>
  <c r="G9" i="118"/>
  <c r="K8" i="118"/>
  <c r="L13" i="118"/>
  <c r="G8" i="118"/>
  <c r="K7" i="118"/>
  <c r="L11" i="118"/>
  <c r="G7" i="118"/>
  <c r="G18" i="118"/>
  <c r="L12" i="118"/>
  <c r="L14" i="118"/>
  <c r="G6" i="118"/>
  <c r="G12" i="56"/>
  <c r="G11" i="56"/>
  <c r="G10" i="56"/>
  <c r="G9" i="56"/>
  <c r="G15" i="117"/>
  <c r="G14" i="117"/>
  <c r="G13" i="117"/>
  <c r="G12" i="117"/>
  <c r="G8" i="117"/>
  <c r="G9" i="117"/>
  <c r="G17" i="117"/>
  <c r="G16" i="117"/>
  <c r="G10" i="117"/>
  <c r="K8" i="117"/>
  <c r="L13" i="117"/>
  <c r="K7" i="117"/>
  <c r="L11" i="117"/>
  <c r="G7" i="117"/>
  <c r="G6" i="117"/>
  <c r="G6" i="116"/>
  <c r="G18" i="116"/>
  <c r="G17" i="116"/>
  <c r="K7" i="116"/>
  <c r="L11" i="116"/>
  <c r="L12" i="116"/>
  <c r="K8" i="116"/>
  <c r="L13" i="116"/>
  <c r="L14" i="116"/>
  <c r="L15" i="116"/>
  <c r="L16" i="116"/>
  <c r="G16" i="116"/>
  <c r="G11" i="85"/>
  <c r="L15" i="114"/>
  <c r="G17" i="114"/>
  <c r="G16" i="114"/>
  <c r="G15" i="114"/>
  <c r="G14" i="114"/>
  <c r="G13" i="114"/>
  <c r="G12" i="114"/>
  <c r="G10" i="114"/>
  <c r="G9" i="114"/>
  <c r="K8" i="114"/>
  <c r="L13" i="114"/>
  <c r="G8" i="114"/>
  <c r="K7" i="114"/>
  <c r="L11" i="114"/>
  <c r="G7" i="114"/>
  <c r="G6" i="114"/>
  <c r="G15" i="113"/>
  <c r="G18" i="113"/>
  <c r="G6" i="113"/>
  <c r="G7" i="113"/>
  <c r="G8" i="113"/>
  <c r="G9" i="113"/>
  <c r="G12" i="113"/>
  <c r="G13" i="113"/>
  <c r="G16" i="113"/>
  <c r="G17" i="113"/>
  <c r="K7" i="113"/>
  <c r="L11" i="113"/>
  <c r="L12" i="113"/>
  <c r="K8" i="113"/>
  <c r="L13" i="113"/>
  <c r="L14" i="113"/>
  <c r="L31" i="113"/>
  <c r="L32" i="113"/>
  <c r="G19" i="113"/>
  <c r="G10" i="109"/>
  <c r="G11" i="109"/>
  <c r="G18" i="109"/>
  <c r="G11" i="37"/>
  <c r="G17" i="112"/>
  <c r="G16" i="112"/>
  <c r="K8" i="112"/>
  <c r="L13" i="112"/>
  <c r="G8" i="112"/>
  <c r="G18" i="112"/>
  <c r="L31" i="112"/>
  <c r="L32" i="112"/>
  <c r="K7" i="112"/>
  <c r="L11" i="112"/>
  <c r="G7" i="112"/>
  <c r="G6" i="112"/>
  <c r="G9" i="110"/>
  <c r="G11" i="110"/>
  <c r="G10" i="110"/>
  <c r="G17" i="111"/>
  <c r="G16" i="111"/>
  <c r="L11" i="111"/>
  <c r="K8" i="111"/>
  <c r="L13" i="111"/>
  <c r="K7" i="111"/>
  <c r="G7" i="111"/>
  <c r="G6" i="111"/>
  <c r="G18" i="111"/>
  <c r="G17" i="110"/>
  <c r="G16" i="110"/>
  <c r="G15" i="110"/>
  <c r="G14" i="110"/>
  <c r="G13" i="110"/>
  <c r="G12" i="110"/>
  <c r="K8" i="110"/>
  <c r="L13" i="110"/>
  <c r="G8" i="110"/>
  <c r="K7" i="110"/>
  <c r="L11" i="110"/>
  <c r="G7" i="110"/>
  <c r="G6" i="110"/>
  <c r="G8" i="32"/>
  <c r="G6" i="32"/>
  <c r="G13" i="32"/>
  <c r="G12" i="32"/>
  <c r="G17" i="109"/>
  <c r="G16" i="109"/>
  <c r="G9" i="109"/>
  <c r="K8" i="109"/>
  <c r="L13" i="109"/>
  <c r="G8" i="109"/>
  <c r="K7" i="109"/>
  <c r="L11" i="109"/>
  <c r="G7" i="109"/>
  <c r="L12" i="109"/>
  <c r="G10" i="103"/>
  <c r="G11" i="107"/>
  <c r="G10" i="107"/>
  <c r="G7" i="108"/>
  <c r="G17" i="108"/>
  <c r="G16" i="108"/>
  <c r="K8" i="108"/>
  <c r="L13" i="108"/>
  <c r="K7" i="108"/>
  <c r="L11" i="108"/>
  <c r="G6" i="108"/>
  <c r="G17" i="107"/>
  <c r="G16" i="107"/>
  <c r="G9" i="107"/>
  <c r="K8" i="107"/>
  <c r="L13" i="107"/>
  <c r="G8" i="107"/>
  <c r="K7" i="107"/>
  <c r="L11" i="107"/>
  <c r="G7" i="107"/>
  <c r="G6" i="107"/>
  <c r="G9" i="54"/>
  <c r="G10" i="54"/>
  <c r="G10" i="24"/>
  <c r="G7" i="104"/>
  <c r="G19" i="105"/>
  <c r="G12" i="105"/>
  <c r="L11" i="105"/>
  <c r="G11" i="105"/>
  <c r="G10" i="105"/>
  <c r="G9" i="105"/>
  <c r="K8" i="105"/>
  <c r="L13" i="105"/>
  <c r="G8" i="105"/>
  <c r="K7" i="105"/>
  <c r="G7" i="105"/>
  <c r="G6" i="105"/>
  <c r="G19" i="104"/>
  <c r="G13" i="104"/>
  <c r="G12" i="104"/>
  <c r="G11" i="104"/>
  <c r="G10" i="104"/>
  <c r="G9" i="104"/>
  <c r="K8" i="104"/>
  <c r="L13" i="104"/>
  <c r="G8" i="104"/>
  <c r="K7" i="104"/>
  <c r="L11" i="104"/>
  <c r="G6" i="104"/>
  <c r="G8" i="101"/>
  <c r="G9" i="101"/>
  <c r="G10" i="63"/>
  <c r="G9" i="63"/>
  <c r="G19" i="58"/>
  <c r="G20" i="58"/>
  <c r="G18" i="58"/>
  <c r="K7" i="55"/>
  <c r="K7" i="99"/>
  <c r="K7" i="100"/>
  <c r="K7" i="27"/>
  <c r="K7" i="54"/>
  <c r="K7" i="21"/>
  <c r="K7" i="101"/>
  <c r="K7" i="83"/>
  <c r="K7" i="52"/>
  <c r="K7" i="63"/>
  <c r="K7" i="43"/>
  <c r="K7" i="24"/>
  <c r="K7" i="102"/>
  <c r="K7" i="103"/>
  <c r="K7" i="22"/>
  <c r="K7" i="33"/>
  <c r="K8" i="65"/>
  <c r="K8" i="33"/>
  <c r="K8" i="22"/>
  <c r="K8" i="55"/>
  <c r="K8" i="99"/>
  <c r="K8" i="100"/>
  <c r="K8" i="53"/>
  <c r="K7" i="53"/>
  <c r="K8" i="27"/>
  <c r="K8" i="54"/>
  <c r="K8" i="21"/>
  <c r="K8" i="101"/>
  <c r="K8" i="83"/>
  <c r="K8" i="52"/>
  <c r="K8" i="63"/>
  <c r="K8" i="43"/>
  <c r="K8" i="24"/>
  <c r="K8" i="102"/>
  <c r="K8" i="103"/>
  <c r="L13" i="103"/>
  <c r="K7" i="62"/>
  <c r="K8" i="62"/>
  <c r="K8" i="95"/>
  <c r="G17" i="103"/>
  <c r="G16" i="103"/>
  <c r="G15" i="103"/>
  <c r="G14" i="103"/>
  <c r="G13" i="103"/>
  <c r="G12" i="103"/>
  <c r="L11" i="103"/>
  <c r="G11" i="103"/>
  <c r="G8" i="103"/>
  <c r="G7" i="103"/>
  <c r="G6" i="103"/>
  <c r="G17" i="102"/>
  <c r="G16" i="102"/>
  <c r="G15" i="102"/>
  <c r="G14" i="102"/>
  <c r="L13" i="102"/>
  <c r="G13" i="102"/>
  <c r="G12" i="102"/>
  <c r="L11" i="102"/>
  <c r="G11" i="102"/>
  <c r="G10" i="102"/>
  <c r="G8" i="102"/>
  <c r="G7" i="102"/>
  <c r="G6" i="102"/>
  <c r="G13" i="88"/>
  <c r="G9" i="24"/>
  <c r="G17" i="101"/>
  <c r="G16" i="101"/>
  <c r="L13" i="101"/>
  <c r="L11" i="101"/>
  <c r="G7" i="101"/>
  <c r="G6" i="101"/>
  <c r="G12" i="100"/>
  <c r="G11" i="100"/>
  <c r="L13" i="100"/>
  <c r="L11" i="100"/>
  <c r="G10" i="100"/>
  <c r="G9" i="100"/>
  <c r="G8" i="100"/>
  <c r="G7" i="100"/>
  <c r="G6" i="100"/>
  <c r="G6" i="99"/>
  <c r="G6" i="55"/>
  <c r="G10" i="99"/>
  <c r="G18" i="99"/>
  <c r="G9" i="99"/>
  <c r="G7" i="99"/>
  <c r="G8" i="99"/>
  <c r="G6" i="97"/>
  <c r="G6" i="84"/>
  <c r="L13" i="99"/>
  <c r="L11" i="99"/>
  <c r="G8" i="56"/>
  <c r="L15" i="17"/>
  <c r="G10" i="32"/>
  <c r="G11" i="32"/>
  <c r="G15" i="32"/>
  <c r="G16" i="32"/>
  <c r="G19" i="32"/>
  <c r="G7" i="97"/>
  <c r="G8" i="97"/>
  <c r="G9" i="97"/>
  <c r="G17" i="97"/>
  <c r="G16" i="97"/>
  <c r="G7" i="94"/>
  <c r="G8" i="94"/>
  <c r="G9" i="94"/>
  <c r="G15" i="96"/>
  <c r="G13" i="96"/>
  <c r="G12" i="96"/>
  <c r="G17" i="96"/>
  <c r="G16" i="96"/>
  <c r="G14" i="96"/>
  <c r="G11" i="96"/>
  <c r="G10" i="96"/>
  <c r="G9" i="96"/>
  <c r="G8" i="96"/>
  <c r="G7" i="96"/>
  <c r="G6" i="96"/>
  <c r="G7" i="95"/>
  <c r="G8" i="95"/>
  <c r="G17" i="95"/>
  <c r="G16" i="95"/>
  <c r="G15" i="95"/>
  <c r="G6" i="95"/>
  <c r="G17" i="94"/>
  <c r="G16" i="94"/>
  <c r="G15" i="94"/>
  <c r="G6" i="94"/>
  <c r="L12" i="112"/>
  <c r="L14" i="112"/>
  <c r="G19" i="112"/>
  <c r="G18" i="110"/>
  <c r="G19" i="110"/>
  <c r="L31" i="111"/>
  <c r="L32" i="111"/>
  <c r="G19" i="111"/>
  <c r="L12" i="111"/>
  <c r="L14" i="111"/>
  <c r="G18" i="32"/>
  <c r="L14" i="109"/>
  <c r="G18" i="107"/>
  <c r="L12" i="107"/>
  <c r="L14" i="107"/>
  <c r="G18" i="108"/>
  <c r="L12" i="108"/>
  <c r="L14" i="108"/>
  <c r="G18" i="103"/>
  <c r="L12" i="103"/>
  <c r="L14" i="103"/>
  <c r="L15" i="103"/>
  <c r="L16" i="103"/>
  <c r="G18" i="105"/>
  <c r="L12" i="105"/>
  <c r="L14" i="105"/>
  <c r="L31" i="105"/>
  <c r="L32" i="105"/>
  <c r="G18" i="104"/>
  <c r="L12" i="104"/>
  <c r="L14" i="104"/>
  <c r="G18" i="102"/>
  <c r="L12" i="102"/>
  <c r="L14" i="102"/>
  <c r="G18" i="101"/>
  <c r="L12" i="101"/>
  <c r="L14" i="101"/>
  <c r="L15" i="101"/>
  <c r="G18" i="100"/>
  <c r="L12" i="100"/>
  <c r="L14" i="100"/>
  <c r="L15" i="100"/>
  <c r="L16" i="100"/>
  <c r="L12" i="99"/>
  <c r="L14" i="99"/>
  <c r="L15" i="99"/>
  <c r="L16" i="99"/>
  <c r="G18" i="97"/>
  <c r="G19" i="97"/>
  <c r="G18" i="96"/>
  <c r="L12" i="96"/>
  <c r="L16" i="112"/>
  <c r="L20" i="112"/>
  <c r="L17" i="112"/>
  <c r="L21" i="112"/>
  <c r="L15" i="112"/>
  <c r="L19" i="112"/>
  <c r="L12" i="110"/>
  <c r="L14" i="110"/>
  <c r="L16" i="110"/>
  <c r="L20" i="110"/>
  <c r="L16" i="111"/>
  <c r="L20" i="111"/>
  <c r="L17" i="111"/>
  <c r="L21" i="111"/>
  <c r="L15" i="111"/>
  <c r="L19" i="111"/>
  <c r="L15" i="109"/>
  <c r="L16" i="109"/>
  <c r="L31" i="108"/>
  <c r="L32" i="108"/>
  <c r="G19" i="108"/>
  <c r="L15" i="108"/>
  <c r="L19" i="108"/>
  <c r="L16" i="108"/>
  <c r="L20" i="108"/>
  <c r="L17" i="108"/>
  <c r="L21" i="108"/>
  <c r="L15" i="107"/>
  <c r="L16" i="107"/>
  <c r="L16" i="105"/>
  <c r="L20" i="105"/>
  <c r="L17" i="105"/>
  <c r="L21" i="105"/>
  <c r="L15" i="105"/>
  <c r="L19" i="105"/>
  <c r="L16" i="104"/>
  <c r="L20" i="104"/>
  <c r="L15" i="104"/>
  <c r="L19" i="104"/>
  <c r="L17" i="104"/>
  <c r="L21" i="104"/>
  <c r="L31" i="104"/>
  <c r="L32" i="104"/>
  <c r="L16" i="101"/>
  <c r="L15" i="102"/>
  <c r="L16" i="102"/>
  <c r="L12" i="97"/>
  <c r="G19" i="96"/>
  <c r="G7" i="26"/>
  <c r="G8" i="26"/>
  <c r="G9" i="26"/>
  <c r="G10" i="26"/>
  <c r="G11" i="26"/>
  <c r="G12" i="26"/>
  <c r="G13" i="26"/>
  <c r="G14" i="26"/>
  <c r="G16" i="26"/>
  <c r="G17" i="26"/>
  <c r="L31" i="110"/>
  <c r="L32" i="110"/>
  <c r="L15" i="110"/>
  <c r="L19" i="110"/>
  <c r="L17" i="110"/>
  <c r="L21" i="110"/>
  <c r="G8" i="90"/>
  <c r="G10" i="90"/>
  <c r="G12" i="90"/>
  <c r="G16" i="90"/>
  <c r="G17" i="90"/>
  <c r="G6" i="90"/>
  <c r="G18" i="90"/>
  <c r="L12" i="90"/>
  <c r="G19" i="90"/>
  <c r="L31" i="90"/>
  <c r="L32" i="90"/>
  <c r="G7" i="88"/>
  <c r="G8" i="88"/>
  <c r="G9" i="88"/>
  <c r="G10" i="88"/>
  <c r="G11" i="88"/>
  <c r="G12" i="88"/>
  <c r="G19" i="88"/>
  <c r="G6" i="88"/>
  <c r="G17" i="86"/>
  <c r="G16" i="86"/>
  <c r="G8" i="86"/>
  <c r="G7" i="86"/>
  <c r="G6" i="86"/>
  <c r="G7" i="85"/>
  <c r="G8" i="85"/>
  <c r="G9" i="85"/>
  <c r="G10" i="85"/>
  <c r="G17" i="85"/>
  <c r="G16" i="85"/>
  <c r="G6" i="85"/>
  <c r="G7" i="84"/>
  <c r="G8" i="84"/>
  <c r="G9" i="84"/>
  <c r="G10" i="84"/>
  <c r="G11" i="84"/>
  <c r="G16" i="84"/>
  <c r="G17" i="84"/>
  <c r="G8" i="83"/>
  <c r="G9" i="83"/>
  <c r="O27" i="83"/>
  <c r="O26" i="83"/>
  <c r="G17" i="83"/>
  <c r="G16" i="83"/>
  <c r="G15" i="83"/>
  <c r="G14" i="83"/>
  <c r="L13" i="83"/>
  <c r="G13" i="83"/>
  <c r="G12" i="83"/>
  <c r="L11" i="83"/>
  <c r="G11" i="83"/>
  <c r="G10" i="83"/>
  <c r="G6" i="83"/>
  <c r="G18" i="86"/>
  <c r="G18" i="88"/>
  <c r="L12" i="88"/>
  <c r="L12" i="86"/>
  <c r="L31" i="86"/>
  <c r="L32" i="86"/>
  <c r="G19" i="86"/>
  <c r="G18" i="85"/>
  <c r="L12" i="85"/>
  <c r="G18" i="84"/>
  <c r="L31" i="84"/>
  <c r="L32" i="84"/>
  <c r="G18" i="83"/>
  <c r="L12" i="83"/>
  <c r="L14" i="83"/>
  <c r="G19" i="85"/>
  <c r="L31" i="85"/>
  <c r="L32" i="85"/>
  <c r="L12" i="84"/>
  <c r="G19" i="84"/>
  <c r="G10" i="37"/>
  <c r="G7" i="37"/>
  <c r="G8" i="37"/>
  <c r="G9" i="37"/>
  <c r="G16" i="37"/>
  <c r="G17" i="37"/>
  <c r="G7" i="52"/>
  <c r="G8" i="52"/>
  <c r="G10" i="52"/>
  <c r="G11" i="52"/>
  <c r="G12" i="52"/>
  <c r="G13" i="52"/>
  <c r="G14" i="52"/>
  <c r="G15" i="52"/>
  <c r="G16" i="52"/>
  <c r="G17" i="52"/>
  <c r="G7" i="53"/>
  <c r="G8" i="53"/>
  <c r="G9" i="53"/>
  <c r="L11" i="53"/>
  <c r="L13" i="53"/>
  <c r="G7" i="54"/>
  <c r="G7" i="72"/>
  <c r="G8" i="72"/>
  <c r="G16" i="72"/>
  <c r="G17" i="72"/>
  <c r="G6" i="72"/>
  <c r="G18" i="72"/>
  <c r="L12" i="72"/>
  <c r="G19" i="72"/>
  <c r="L31" i="72"/>
  <c r="L32" i="72"/>
  <c r="G7" i="65"/>
  <c r="G8" i="65"/>
  <c r="G9" i="65"/>
  <c r="G10" i="65"/>
  <c r="G11" i="65"/>
  <c r="G12" i="65"/>
  <c r="G13" i="65"/>
  <c r="G14" i="65"/>
  <c r="G15" i="65"/>
  <c r="G16" i="65"/>
  <c r="G17" i="65"/>
  <c r="O27" i="65"/>
  <c r="O26" i="65"/>
  <c r="L13" i="65"/>
  <c r="L11" i="65"/>
  <c r="G6" i="65"/>
  <c r="G18" i="65"/>
  <c r="L12" i="65"/>
  <c r="L14" i="65"/>
  <c r="G7" i="62"/>
  <c r="G8" i="62"/>
  <c r="G9" i="62"/>
  <c r="G16" i="62"/>
  <c r="G17" i="62"/>
  <c r="G17" i="63"/>
  <c r="G16" i="63"/>
  <c r="G15" i="63"/>
  <c r="G14" i="63"/>
  <c r="L13" i="63"/>
  <c r="G13" i="63"/>
  <c r="G12" i="63"/>
  <c r="L11" i="63"/>
  <c r="G11" i="63"/>
  <c r="G8" i="63"/>
  <c r="G7" i="63"/>
  <c r="G6" i="63"/>
  <c r="G18" i="63"/>
  <c r="L12" i="63"/>
  <c r="L14" i="63"/>
  <c r="G11" i="54"/>
  <c r="G12" i="54"/>
  <c r="G13" i="54"/>
  <c r="G14" i="54"/>
  <c r="G15" i="54"/>
  <c r="G16" i="54"/>
  <c r="G17" i="54"/>
  <c r="G7" i="21"/>
  <c r="G8" i="21"/>
  <c r="G9" i="21"/>
  <c r="G16" i="21"/>
  <c r="G17" i="21"/>
  <c r="O31" i="65"/>
  <c r="G22" i="65"/>
  <c r="L15" i="65"/>
  <c r="O29" i="65"/>
  <c r="O25" i="65"/>
  <c r="O30" i="65"/>
  <c r="G18" i="62"/>
  <c r="G7" i="45"/>
  <c r="G8" i="45"/>
  <c r="G9" i="45"/>
  <c r="G18" i="45"/>
  <c r="G15" i="45"/>
  <c r="G16" i="45"/>
  <c r="G17" i="45"/>
  <c r="L16" i="65"/>
  <c r="L31" i="62"/>
  <c r="L32" i="62"/>
  <c r="L12" i="62"/>
  <c r="G19" i="62"/>
  <c r="G7" i="43"/>
  <c r="G8" i="43"/>
  <c r="G9" i="43"/>
  <c r="G10" i="43"/>
  <c r="G11" i="43"/>
  <c r="G12" i="43"/>
  <c r="G13" i="43"/>
  <c r="G14" i="43"/>
  <c r="G15" i="43"/>
  <c r="G16" i="43"/>
  <c r="G17" i="43"/>
  <c r="L11" i="24"/>
  <c r="G7" i="58"/>
  <c r="G8" i="58"/>
  <c r="G9" i="58"/>
  <c r="G10" i="58"/>
  <c r="G11" i="58"/>
  <c r="G12" i="58"/>
  <c r="G13" i="58"/>
  <c r="G15" i="58"/>
  <c r="G16" i="58"/>
  <c r="G6" i="58"/>
  <c r="G7" i="57"/>
  <c r="G8" i="57"/>
  <c r="G9" i="57"/>
  <c r="G10" i="57"/>
  <c r="G11" i="57"/>
  <c r="G17" i="57"/>
  <c r="L13" i="57"/>
  <c r="G6" i="57"/>
  <c r="G7" i="56"/>
  <c r="G18" i="56"/>
  <c r="L12" i="56"/>
  <c r="G6" i="56"/>
  <c r="G6" i="18"/>
  <c r="G17" i="56"/>
  <c r="G16" i="56"/>
  <c r="G15" i="56"/>
  <c r="G7" i="55"/>
  <c r="G8" i="55"/>
  <c r="G9" i="55"/>
  <c r="G10" i="55"/>
  <c r="G11" i="55"/>
  <c r="G12" i="55"/>
  <c r="G13" i="55"/>
  <c r="G14" i="55"/>
  <c r="G15" i="55"/>
  <c r="G16" i="55"/>
  <c r="G17" i="55"/>
  <c r="L13" i="55"/>
  <c r="L11" i="55"/>
  <c r="G18" i="55"/>
  <c r="L13" i="54"/>
  <c r="L11" i="54"/>
  <c r="G6" i="54"/>
  <c r="G18" i="54"/>
  <c r="G10" i="53"/>
  <c r="G11" i="53"/>
  <c r="G13" i="53"/>
  <c r="G14" i="53"/>
  <c r="G15" i="53"/>
  <c r="G16" i="53"/>
  <c r="G17" i="53"/>
  <c r="G6" i="53"/>
  <c r="O27" i="52"/>
  <c r="O26" i="52"/>
  <c r="L13" i="52"/>
  <c r="L11" i="52"/>
  <c r="G6" i="52"/>
  <c r="G18" i="57"/>
  <c r="L12" i="58"/>
  <c r="L12" i="54"/>
  <c r="L14" i="54"/>
  <c r="L15" i="54"/>
  <c r="L12" i="55"/>
  <c r="L14" i="55"/>
  <c r="L15" i="55"/>
  <c r="G18" i="52"/>
  <c r="G6" i="45"/>
  <c r="L13" i="43"/>
  <c r="L11" i="43"/>
  <c r="G6" i="43"/>
  <c r="G18" i="43"/>
  <c r="L12" i="43"/>
  <c r="G6" i="37"/>
  <c r="G6" i="33"/>
  <c r="G7" i="33"/>
  <c r="G8" i="33"/>
  <c r="G9" i="33"/>
  <c r="G10" i="33"/>
  <c r="G11" i="33"/>
  <c r="G12" i="33"/>
  <c r="G13" i="33"/>
  <c r="G14" i="33"/>
  <c r="G15" i="33"/>
  <c r="G16" i="33"/>
  <c r="G17" i="33"/>
  <c r="L13" i="33"/>
  <c r="L11" i="33"/>
  <c r="G7" i="17"/>
  <c r="G8" i="17"/>
  <c r="G9" i="17"/>
  <c r="G10" i="17"/>
  <c r="G11" i="17"/>
  <c r="G12" i="17"/>
  <c r="G13" i="17"/>
  <c r="G14" i="17"/>
  <c r="G15" i="17"/>
  <c r="G16" i="17"/>
  <c r="G17" i="17"/>
  <c r="G6" i="21"/>
  <c r="G6" i="27"/>
  <c r="L12" i="32"/>
  <c r="G18" i="33"/>
  <c r="G19" i="33"/>
  <c r="G18" i="37"/>
  <c r="G19" i="37"/>
  <c r="L12" i="57"/>
  <c r="L16" i="55"/>
  <c r="L16" i="54"/>
  <c r="L12" i="52"/>
  <c r="L14" i="52"/>
  <c r="G19" i="52"/>
  <c r="L14" i="43"/>
  <c r="L15" i="43"/>
  <c r="G18" i="21"/>
  <c r="G17" i="27"/>
  <c r="G16" i="27"/>
  <c r="G15" i="27"/>
  <c r="G14" i="27"/>
  <c r="L13" i="27"/>
  <c r="G13" i="27"/>
  <c r="G12" i="27"/>
  <c r="L11" i="27"/>
  <c r="G11" i="27"/>
  <c r="G10" i="27"/>
  <c r="G9" i="27"/>
  <c r="G8" i="27"/>
  <c r="G7" i="27"/>
  <c r="L13" i="4"/>
  <c r="G6" i="26"/>
  <c r="G18" i="26"/>
  <c r="G19" i="26"/>
  <c r="G7" i="24"/>
  <c r="G8" i="24"/>
  <c r="G11" i="24"/>
  <c r="G12" i="24"/>
  <c r="G13" i="24"/>
  <c r="G14" i="24"/>
  <c r="G15" i="24"/>
  <c r="G16" i="24"/>
  <c r="G17" i="24"/>
  <c r="L13" i="24"/>
  <c r="G6" i="24"/>
  <c r="G7" i="22"/>
  <c r="G8" i="22"/>
  <c r="G9" i="22"/>
  <c r="G10" i="22"/>
  <c r="G11" i="22"/>
  <c r="G12" i="22"/>
  <c r="G13" i="22"/>
  <c r="G14" i="22"/>
  <c r="G15" i="22"/>
  <c r="G16" i="22"/>
  <c r="G17" i="22"/>
  <c r="G6" i="22"/>
  <c r="L13" i="22"/>
  <c r="L11" i="22"/>
  <c r="L13" i="21"/>
  <c r="L11" i="21"/>
  <c r="G7" i="4"/>
  <c r="G8" i="4"/>
  <c r="G9" i="4"/>
  <c r="G10" i="4"/>
  <c r="G11" i="4"/>
  <c r="G12" i="4"/>
  <c r="G13" i="4"/>
  <c r="G6" i="4"/>
  <c r="G17" i="18"/>
  <c r="G16" i="18"/>
  <c r="G8" i="18"/>
  <c r="G7" i="18"/>
  <c r="L13" i="17"/>
  <c r="L11" i="17"/>
  <c r="G6" i="17"/>
  <c r="G18" i="17"/>
  <c r="F6" i="12"/>
  <c r="F7" i="12"/>
  <c r="F8" i="12"/>
  <c r="F9" i="12"/>
  <c r="F11" i="12"/>
  <c r="F5" i="12"/>
  <c r="G15" i="15"/>
  <c r="G14" i="15"/>
  <c r="G13" i="15"/>
  <c r="G12" i="15"/>
  <c r="G11" i="15"/>
  <c r="G10" i="15"/>
  <c r="G9" i="15"/>
  <c r="G8" i="15"/>
  <c r="G7" i="15"/>
  <c r="G6" i="15"/>
  <c r="G17" i="15"/>
  <c r="G16" i="15"/>
  <c r="M14" i="15"/>
  <c r="L12" i="12"/>
  <c r="L13" i="12"/>
  <c r="L14" i="12"/>
  <c r="L15" i="12"/>
  <c r="G13" i="11"/>
  <c r="G12" i="11"/>
  <c r="G11" i="11"/>
  <c r="G10" i="11"/>
  <c r="G9" i="11"/>
  <c r="G8" i="11"/>
  <c r="G7" i="11"/>
  <c r="G6" i="11"/>
  <c r="G17" i="11"/>
  <c r="G16" i="11"/>
  <c r="G15" i="11"/>
  <c r="G14" i="11"/>
  <c r="L11" i="11"/>
  <c r="K8" i="96"/>
  <c r="L13" i="96"/>
  <c r="L13" i="95"/>
  <c r="K8" i="97"/>
  <c r="L13" i="97"/>
  <c r="K8" i="94"/>
  <c r="L13" i="94"/>
  <c r="K8" i="26"/>
  <c r="L13" i="26"/>
  <c r="K8" i="90"/>
  <c r="L13" i="90"/>
  <c r="K8" i="88"/>
  <c r="L13" i="88"/>
  <c r="K8" i="85"/>
  <c r="L13" i="85"/>
  <c r="K8" i="86"/>
  <c r="L13" i="86"/>
  <c r="K8" i="84"/>
  <c r="L13" i="84"/>
  <c r="K8" i="72"/>
  <c r="L13" i="72"/>
  <c r="L13" i="62"/>
  <c r="K8" i="58"/>
  <c r="L13" i="58"/>
  <c r="K8" i="56"/>
  <c r="L13" i="56"/>
  <c r="G18" i="15"/>
  <c r="O30" i="52"/>
  <c r="L15" i="52"/>
  <c r="O29" i="52"/>
  <c r="G18" i="27"/>
  <c r="L12" i="27"/>
  <c r="L14" i="27"/>
  <c r="L15" i="27"/>
  <c r="G18" i="22"/>
  <c r="L12" i="22"/>
  <c r="L14" i="22"/>
  <c r="L12" i="33"/>
  <c r="L14" i="33"/>
  <c r="L15" i="33"/>
  <c r="L16" i="33"/>
  <c r="L12" i="37"/>
  <c r="O31" i="52"/>
  <c r="O25" i="52"/>
  <c r="G18" i="24"/>
  <c r="L12" i="24"/>
  <c r="L14" i="24"/>
  <c r="L15" i="24"/>
  <c r="K8" i="37"/>
  <c r="L13" i="37"/>
  <c r="K8" i="32"/>
  <c r="L13" i="32"/>
  <c r="K8" i="45"/>
  <c r="L13" i="45"/>
  <c r="K8" i="18"/>
  <c r="L13" i="18"/>
  <c r="L16" i="52"/>
  <c r="L16" i="43"/>
  <c r="L12" i="26"/>
  <c r="L12" i="21"/>
  <c r="L14" i="21"/>
  <c r="G18" i="18"/>
  <c r="L12" i="17"/>
  <c r="L14" i="17"/>
  <c r="F12" i="12"/>
  <c r="F13" i="12"/>
  <c r="F14" i="12"/>
  <c r="F15" i="12"/>
  <c r="G20" i="15"/>
  <c r="G19" i="15"/>
  <c r="G18" i="11"/>
  <c r="G20" i="11"/>
  <c r="G18" i="4"/>
  <c r="L15" i="21"/>
  <c r="L16" i="21"/>
  <c r="K7" i="96"/>
  <c r="L11" i="96"/>
  <c r="L14" i="96"/>
  <c r="K7" i="94"/>
  <c r="L11" i="94"/>
  <c r="K7" i="95"/>
  <c r="L11" i="95"/>
  <c r="K7" i="97"/>
  <c r="L11" i="97"/>
  <c r="L14" i="97"/>
  <c r="L11" i="62"/>
  <c r="L14" i="62"/>
  <c r="L17" i="62"/>
  <c r="L21" i="62"/>
  <c r="K7" i="90"/>
  <c r="L11" i="90"/>
  <c r="L14" i="90"/>
  <c r="K7" i="88"/>
  <c r="L11" i="88"/>
  <c r="L14" i="88"/>
  <c r="K7" i="86"/>
  <c r="L11" i="86"/>
  <c r="L14" i="86"/>
  <c r="K7" i="85"/>
  <c r="L11" i="85"/>
  <c r="L14" i="85"/>
  <c r="K7" i="84"/>
  <c r="L11" i="84"/>
  <c r="L14" i="84"/>
  <c r="K7" i="72"/>
  <c r="L11" i="72"/>
  <c r="L14" i="72"/>
  <c r="L31" i="18"/>
  <c r="L12" i="18"/>
  <c r="G19" i="22"/>
  <c r="L16" i="24"/>
  <c r="K7" i="58"/>
  <c r="L11" i="58"/>
  <c r="L14" i="58"/>
  <c r="K7" i="56"/>
  <c r="L11" i="56"/>
  <c r="K7" i="57"/>
  <c r="L11" i="57"/>
  <c r="L14" i="57"/>
  <c r="G19" i="4"/>
  <c r="G20" i="4"/>
  <c r="L12" i="4"/>
  <c r="L16" i="27"/>
  <c r="L16" i="17"/>
  <c r="G19" i="18"/>
  <c r="K7" i="45"/>
  <c r="L11" i="45"/>
  <c r="K7" i="37"/>
  <c r="L11" i="37"/>
  <c r="L14" i="37"/>
  <c r="K7" i="32"/>
  <c r="L11" i="32"/>
  <c r="L14" i="32"/>
  <c r="K7" i="4"/>
  <c r="L11" i="4"/>
  <c r="K7" i="18"/>
  <c r="L11" i="18"/>
  <c r="K7" i="26"/>
  <c r="L11" i="26"/>
  <c r="L14" i="26"/>
  <c r="L15" i="22"/>
  <c r="L16" i="22"/>
  <c r="G19" i="11"/>
  <c r="L15" i="11"/>
  <c r="L16" i="11"/>
  <c r="L16" i="62"/>
  <c r="L20" i="62"/>
  <c r="L31" i="97"/>
  <c r="L32" i="97"/>
  <c r="L15" i="97"/>
  <c r="L19" i="97"/>
  <c r="L17" i="97"/>
  <c r="L21" i="97"/>
  <c r="L16" i="97"/>
  <c r="L20" i="97"/>
  <c r="L16" i="96"/>
  <c r="L20" i="96"/>
  <c r="L17" i="96"/>
  <c r="L21" i="96"/>
  <c r="L15" i="96"/>
  <c r="L19" i="96"/>
  <c r="L15" i="57"/>
  <c r="L16" i="57"/>
  <c r="L15" i="72"/>
  <c r="L19" i="72"/>
  <c r="L16" i="72"/>
  <c r="L20" i="72"/>
  <c r="L17" i="72"/>
  <c r="L21" i="72"/>
  <c r="L15" i="86"/>
  <c r="L19" i="86"/>
  <c r="L16" i="86"/>
  <c r="L20" i="86"/>
  <c r="L17" i="86"/>
  <c r="L21" i="86"/>
  <c r="L17" i="88"/>
  <c r="L21" i="88"/>
  <c r="L15" i="88"/>
  <c r="L19" i="88"/>
  <c r="L31" i="88"/>
  <c r="L32" i="88"/>
  <c r="L16" i="88"/>
  <c r="L20" i="88"/>
  <c r="L15" i="62"/>
  <c r="L19" i="62"/>
  <c r="L15" i="84"/>
  <c r="L19" i="84"/>
  <c r="L17" i="84"/>
  <c r="L21" i="84"/>
  <c r="L16" i="84"/>
  <c r="L20" i="84"/>
  <c r="L17" i="90"/>
  <c r="L21" i="90"/>
  <c r="L15" i="90"/>
  <c r="L19" i="90"/>
  <c r="L16" i="90"/>
  <c r="L20" i="90"/>
  <c r="L17" i="85"/>
  <c r="L21" i="85"/>
  <c r="L15" i="85"/>
  <c r="L19" i="85"/>
  <c r="L16" i="85"/>
  <c r="L20" i="85"/>
  <c r="L14" i="4"/>
  <c r="L15" i="4"/>
  <c r="L16" i="4"/>
  <c r="L15" i="58"/>
  <c r="L21" i="58"/>
  <c r="L17" i="58"/>
  <c r="L23" i="58"/>
  <c r="L16" i="58"/>
  <c r="L22" i="58"/>
  <c r="L15" i="32"/>
  <c r="L19" i="32"/>
  <c r="L31" i="32"/>
  <c r="L32" i="32"/>
  <c r="L17" i="32"/>
  <c r="L21" i="32"/>
  <c r="L16" i="32"/>
  <c r="L20" i="32"/>
  <c r="L15" i="37"/>
  <c r="L19" i="37"/>
  <c r="L16" i="37"/>
  <c r="L20" i="37"/>
  <c r="L17" i="37"/>
  <c r="L21" i="37"/>
  <c r="L31" i="37"/>
  <c r="L32" i="37"/>
  <c r="L14" i="18"/>
  <c r="L17" i="26"/>
  <c r="L21" i="26"/>
  <c r="L15" i="26"/>
  <c r="L19" i="26"/>
  <c r="L16" i="26"/>
  <c r="L20" i="26"/>
  <c r="L17" i="18"/>
  <c r="L21" i="18"/>
  <c r="L16" i="18"/>
  <c r="L20" i="18"/>
  <c r="L32" i="18"/>
  <c r="L15" i="18"/>
  <c r="L19" i="18"/>
  <c r="G18" i="114"/>
  <c r="G19" i="114"/>
  <c r="L12" i="114"/>
  <c r="L14" i="114"/>
  <c r="L16" i="114"/>
  <c r="L14" i="56"/>
  <c r="L16" i="56"/>
  <c r="L20" i="56"/>
  <c r="L17" i="113"/>
  <c r="L21" i="113"/>
  <c r="L15" i="113"/>
  <c r="L19" i="113"/>
  <c r="L16" i="113"/>
  <c r="L20" i="113"/>
  <c r="G19" i="45"/>
  <c r="L12" i="45"/>
  <c r="L14" i="45"/>
  <c r="L15" i="56"/>
  <c r="L19" i="56"/>
  <c r="L17" i="56"/>
  <c r="L21" i="56"/>
  <c r="L17" i="45"/>
  <c r="L21" i="45"/>
  <c r="L16" i="45"/>
  <c r="L20" i="45"/>
  <c r="L15" i="45"/>
  <c r="L19" i="45"/>
  <c r="L31" i="45"/>
  <c r="L32" i="45"/>
  <c r="L17" i="118"/>
  <c r="L21" i="118"/>
  <c r="L16" i="118"/>
  <c r="L20" i="118"/>
  <c r="L15" i="118"/>
  <c r="L19" i="118"/>
  <c r="G19" i="118"/>
  <c r="L31" i="118"/>
  <c r="L32" i="118"/>
  <c r="G18" i="95"/>
  <c r="L12" i="95"/>
  <c r="L14" i="95" s="1"/>
  <c r="L17" i="95" s="1"/>
  <c r="O25" i="83"/>
  <c r="O31" i="83"/>
  <c r="L16" i="83"/>
  <c r="L15" i="83"/>
  <c r="O29" i="83"/>
  <c r="O30" i="83"/>
  <c r="G19" i="83"/>
  <c r="L15" i="63"/>
  <c r="L16" i="63"/>
  <c r="G18" i="122"/>
  <c r="L12" i="122"/>
  <c r="L14" i="122"/>
  <c r="G18" i="121"/>
  <c r="L12" i="121"/>
  <c r="L14" i="121"/>
  <c r="G24" i="119"/>
  <c r="L12" i="119"/>
  <c r="L12" i="120"/>
  <c r="L14" i="120"/>
  <c r="L15" i="120"/>
  <c r="L16" i="120"/>
  <c r="L15" i="122"/>
  <c r="L16" i="122"/>
  <c r="L15" i="121"/>
  <c r="L16" i="121"/>
  <c r="G18" i="94"/>
  <c r="L12" i="94"/>
  <c r="L14" i="94"/>
  <c r="L17" i="94"/>
  <c r="L21" i="94"/>
  <c r="L15" i="94"/>
  <c r="L19" i="94"/>
  <c r="L16" i="94"/>
  <c r="L20" i="94"/>
  <c r="G18" i="123" l="1"/>
  <c r="L12" i="123" s="1"/>
  <c r="L14" i="123" s="1"/>
  <c r="L17" i="123" s="1"/>
  <c r="L21" i="123" s="1"/>
  <c r="L31" i="124"/>
  <c r="L32" i="124" s="1"/>
  <c r="G18" i="53"/>
  <c r="L12" i="53" s="1"/>
  <c r="L14" i="53" s="1"/>
  <c r="L16" i="53" s="1"/>
  <c r="L20" i="53" s="1"/>
  <c r="L15" i="53"/>
  <c r="L19" i="53" s="1"/>
  <c r="L17" i="53"/>
  <c r="L21" i="53" s="1"/>
  <c r="L16" i="95"/>
  <c r="L20" i="95" s="1"/>
  <c r="L15" i="95"/>
  <c r="L19" i="95" s="1"/>
  <c r="L21" i="95"/>
  <c r="L15" i="119"/>
  <c r="L16" i="119"/>
  <c r="L20" i="119" s="1"/>
  <c r="L19" i="119"/>
  <c r="L17" i="119"/>
  <c r="L21" i="119" s="1"/>
  <c r="G18" i="117"/>
  <c r="L31" i="117" s="1"/>
  <c r="L32" i="117" s="1"/>
  <c r="L16" i="123" l="1"/>
  <c r="L20" i="123" s="1"/>
  <c r="G19" i="123"/>
  <c r="L15" i="123"/>
  <c r="L19" i="123" s="1"/>
  <c r="L31" i="123"/>
  <c r="L32" i="123" s="1"/>
  <c r="L12" i="124"/>
  <c r="L14" i="124" s="1"/>
  <c r="L17" i="124" s="1"/>
  <c r="L21" i="124" s="1"/>
  <c r="G23" i="124"/>
  <c r="L12" i="117"/>
  <c r="L14" i="117" s="1"/>
  <c r="G19" i="117"/>
  <c r="L15" i="124" l="1"/>
  <c r="L19" i="124" s="1"/>
  <c r="L16" i="124"/>
  <c r="L20" i="124" s="1"/>
  <c r="L15" i="117"/>
  <c r="L19" i="117" s="1"/>
  <c r="L16" i="117"/>
  <c r="L20" i="117" s="1"/>
  <c r="L17" i="117"/>
  <c r="L21" i="117" s="1"/>
</calcChain>
</file>

<file path=xl/sharedStrings.xml><?xml version="1.0" encoding="utf-8"?>
<sst xmlns="http://schemas.openxmlformats.org/spreadsheetml/2006/main" count="1984" uniqueCount="334">
  <si>
    <t xml:space="preserve">FICHA TÉCNICA </t>
  </si>
  <si>
    <t>Produto:</t>
  </si>
  <si>
    <t>Bem casado</t>
  </si>
  <si>
    <t>Rendimento:</t>
  </si>
  <si>
    <t>Tempo de preparo (min)</t>
  </si>
  <si>
    <t>Item</t>
  </si>
  <si>
    <t>Quant. Insumo</t>
  </si>
  <si>
    <t>Valo do insumo</t>
  </si>
  <si>
    <t>Quant. Utilizada</t>
  </si>
  <si>
    <t>Valor custo</t>
  </si>
  <si>
    <t>ovo</t>
  </si>
  <si>
    <r>
      <t xml:space="preserve">Metodologia </t>
    </r>
    <r>
      <rPr>
        <b/>
        <sz val="11"/>
        <rFont val="Calibri"/>
        <family val="2"/>
        <scheme val="minor"/>
      </rPr>
      <t>Hora Trabalhada</t>
    </r>
  </si>
  <si>
    <t>açucar</t>
  </si>
  <si>
    <t>Custo fixo (R$/min)</t>
  </si>
  <si>
    <t>farinha</t>
  </si>
  <si>
    <t>Mão de obra ($/min)</t>
  </si>
  <si>
    <t>fécula de batata</t>
  </si>
  <si>
    <t>fermento</t>
  </si>
  <si>
    <t>Custo total dos produto</t>
  </si>
  <si>
    <t>agua</t>
  </si>
  <si>
    <t>custo fixo</t>
  </si>
  <si>
    <t>baunilha</t>
  </si>
  <si>
    <t>custo variável</t>
  </si>
  <si>
    <t>açucar impalpavel</t>
  </si>
  <si>
    <t>mão de obra</t>
  </si>
  <si>
    <t>doce de leite</t>
  </si>
  <si>
    <t xml:space="preserve">Custo total </t>
  </si>
  <si>
    <t>embalagem</t>
  </si>
  <si>
    <t>Lucro 30%</t>
  </si>
  <si>
    <t>Valor ideal de venda</t>
  </si>
  <si>
    <t>VENDA</t>
  </si>
  <si>
    <t>Custo total de matéria-prima</t>
  </si>
  <si>
    <t>Lucro 50%</t>
  </si>
  <si>
    <t>Lucro 100%</t>
  </si>
  <si>
    <t>Valor ideal de venda (30%)</t>
  </si>
  <si>
    <t>Valor ideal de venda (50%)</t>
  </si>
  <si>
    <t>Valor ideal de venda (100%)</t>
  </si>
  <si>
    <t>cesta personalizada</t>
  </si>
  <si>
    <t>cesta</t>
  </si>
  <si>
    <t xml:space="preserve">saco </t>
  </si>
  <si>
    <t>Custo fixo ($/min)</t>
  </si>
  <si>
    <t>balão</t>
  </si>
  <si>
    <t>trufas</t>
  </si>
  <si>
    <t>pão de mel</t>
  </si>
  <si>
    <t>mini bolo</t>
  </si>
  <si>
    <t>etiquetas</t>
  </si>
  <si>
    <t>papel Arroz</t>
  </si>
  <si>
    <t>Custo por grama</t>
  </si>
  <si>
    <t>Custo por Grama</t>
  </si>
  <si>
    <t>cesta Simples</t>
  </si>
  <si>
    <t>Pasta de leite em pó</t>
  </si>
  <si>
    <t>Leite em pó</t>
  </si>
  <si>
    <t>Açucar impalpavel</t>
  </si>
  <si>
    <t>merengue em pó</t>
  </si>
  <si>
    <t>goma xantana</t>
  </si>
  <si>
    <t>glucose me milho</t>
  </si>
  <si>
    <t>leite condensado</t>
  </si>
  <si>
    <t>valor por grama</t>
  </si>
  <si>
    <t>Pasta de chocolate</t>
  </si>
  <si>
    <t>125g</t>
  </si>
  <si>
    <t>chocolate top Branco</t>
  </si>
  <si>
    <t>Glucose</t>
  </si>
  <si>
    <t>Massa de bolo meia receita</t>
  </si>
  <si>
    <t>chocolate em pó</t>
  </si>
  <si>
    <t>Bolo 1kg</t>
  </si>
  <si>
    <t>1kg</t>
  </si>
  <si>
    <t>creme de leite</t>
  </si>
  <si>
    <t>margarina</t>
  </si>
  <si>
    <t>abacaxi</t>
  </si>
  <si>
    <t>massa |Chocolate</t>
  </si>
  <si>
    <t>chocolate nobre</t>
  </si>
  <si>
    <t>chantily</t>
  </si>
  <si>
    <t>embalagem+cakeboard</t>
  </si>
  <si>
    <t xml:space="preserve"> Mini Bolo 500kg</t>
  </si>
  <si>
    <t>massa</t>
  </si>
  <si>
    <t>brigadeiro</t>
  </si>
  <si>
    <t>abacaxa</t>
  </si>
  <si>
    <t>prato</t>
  </si>
  <si>
    <t>acetato</t>
  </si>
  <si>
    <t>fita</t>
  </si>
  <si>
    <t>Recheio bolo de pote</t>
  </si>
  <si>
    <t>leite</t>
  </si>
  <si>
    <t>Bolo de pote</t>
  </si>
  <si>
    <t>Massa chocolate</t>
  </si>
  <si>
    <t>creme</t>
  </si>
  <si>
    <t>pote</t>
  </si>
  <si>
    <t>Bolo de pote cenoura</t>
  </si>
  <si>
    <t>Recheio Brigadeiro</t>
  </si>
  <si>
    <t>Granulado</t>
  </si>
  <si>
    <t>sonho</t>
  </si>
  <si>
    <t>Farinha</t>
  </si>
  <si>
    <t>Leite</t>
  </si>
  <si>
    <t>Gemas</t>
  </si>
  <si>
    <t>sal</t>
  </si>
  <si>
    <t>Açucar</t>
  </si>
  <si>
    <t>Margarina</t>
  </si>
  <si>
    <t>Fermento Biologico</t>
  </si>
  <si>
    <t>Melhorador</t>
  </si>
  <si>
    <t>Essencia de Baunilha</t>
  </si>
  <si>
    <t>Recheio Laka</t>
  </si>
  <si>
    <t>cobertura</t>
  </si>
  <si>
    <t>óleo</t>
  </si>
  <si>
    <t>Pipoca Caramelada</t>
  </si>
  <si>
    <t>240g 4 unidades de 60g</t>
  </si>
  <si>
    <t>milho</t>
  </si>
  <si>
    <t>manteiga</t>
  </si>
  <si>
    <t>saquinho</t>
  </si>
  <si>
    <t>Pipoca Ninho</t>
  </si>
  <si>
    <t>4 unidades de 100g</t>
  </si>
  <si>
    <t>Chocolate branco</t>
  </si>
  <si>
    <t>ninho</t>
  </si>
  <si>
    <t>cone trufado 80g</t>
  </si>
  <si>
    <t>cone de sorvete</t>
  </si>
  <si>
    <t>chocolate cobertura</t>
  </si>
  <si>
    <t>Mão de obra (R$/min)</t>
  </si>
  <si>
    <t>granule</t>
  </si>
  <si>
    <t>saquinho cone</t>
  </si>
  <si>
    <t>etiqueta perso</t>
  </si>
  <si>
    <t xml:space="preserve"> Bolo no Palito</t>
  </si>
  <si>
    <t>Massa pão de mel</t>
  </si>
  <si>
    <t xml:space="preserve">palito </t>
  </si>
  <si>
    <t>Trufa M</t>
  </si>
  <si>
    <t>brigadeiro Recheio</t>
  </si>
  <si>
    <t>trufa pistache</t>
  </si>
  <si>
    <t>corante</t>
  </si>
  <si>
    <t>pasta de leite</t>
  </si>
  <si>
    <t xml:space="preserve"> Mini Trufa</t>
  </si>
  <si>
    <t>caixeta</t>
  </si>
  <si>
    <t>fundo incolor</t>
  </si>
  <si>
    <t xml:space="preserve"> Mini Trufa cereja cx com 9</t>
  </si>
  <si>
    <t xml:space="preserve">chocolate top </t>
  </si>
  <si>
    <t>trufa</t>
  </si>
  <si>
    <t>cereja</t>
  </si>
  <si>
    <t>caixa</t>
  </si>
  <si>
    <t>1,45 cada trufa</t>
  </si>
  <si>
    <t xml:space="preserve"> Mini Trufa Corção</t>
  </si>
  <si>
    <t>bombom chocolate</t>
  </si>
  <si>
    <t>chocolate melken</t>
  </si>
  <si>
    <t>trufa Quadrado</t>
  </si>
  <si>
    <t>chocolate top</t>
  </si>
  <si>
    <t>PM Quadrado</t>
  </si>
  <si>
    <t>Massa pm</t>
  </si>
  <si>
    <t xml:space="preserve">Pão de mel medio </t>
  </si>
  <si>
    <t>etiqueta</t>
  </si>
  <si>
    <t>Pão de mel medio 3D</t>
  </si>
  <si>
    <t>Doce de leite</t>
  </si>
  <si>
    <t>pasta de leite em pó</t>
  </si>
  <si>
    <t>Mini Pão de Mel</t>
  </si>
  <si>
    <t>pasta leite em po</t>
  </si>
  <si>
    <t>Pirulito Personalizado</t>
  </si>
  <si>
    <t>chocolate Branco</t>
  </si>
  <si>
    <t>Palito</t>
  </si>
  <si>
    <t>Pirulito Simples</t>
  </si>
  <si>
    <t>Brigadeiro boleado</t>
  </si>
  <si>
    <t>nutella</t>
  </si>
  <si>
    <t>forminha</t>
  </si>
  <si>
    <t>Brigadeiro</t>
  </si>
  <si>
    <t>Trufa Branca</t>
  </si>
  <si>
    <t>brigadeiro ninho</t>
  </si>
  <si>
    <t>coco ralado</t>
  </si>
  <si>
    <t>amendoas</t>
  </si>
  <si>
    <t>Trufa tradicional</t>
  </si>
  <si>
    <t>chocolate amargo</t>
  </si>
  <si>
    <t>Trufa Pistache</t>
  </si>
  <si>
    <t>brigadeiro branco</t>
  </si>
  <si>
    <t>pasta de pistache</t>
  </si>
  <si>
    <t>pistache</t>
  </si>
  <si>
    <t>Geleia frutas vermelhas</t>
  </si>
  <si>
    <t>frutas vermelhas</t>
  </si>
  <si>
    <t>limão</t>
  </si>
  <si>
    <t>Recheio de abacaxi</t>
  </si>
  <si>
    <t>chocolate branco top</t>
  </si>
  <si>
    <t>chocotone</t>
  </si>
  <si>
    <t>Mini Chocotone</t>
  </si>
  <si>
    <t>granulkado</t>
  </si>
  <si>
    <t xml:space="preserve"> Chocotone G</t>
  </si>
  <si>
    <t>reheio brigadeiro/Nutella</t>
  </si>
  <si>
    <t>Granule</t>
  </si>
  <si>
    <t>cookie</t>
  </si>
  <si>
    <t>açucar mascavo</t>
  </si>
  <si>
    <t>ovos</t>
  </si>
  <si>
    <t>bicarbonato</t>
  </si>
  <si>
    <t>chocolate gotas</t>
  </si>
  <si>
    <t>papel manteiga</t>
  </si>
  <si>
    <t>tag</t>
  </si>
  <si>
    <t>laço</t>
  </si>
  <si>
    <t>Massa Brownie</t>
  </si>
  <si>
    <t>farinha de trigo</t>
  </si>
  <si>
    <t>chocolate meio amargo</t>
  </si>
  <si>
    <t>entrega</t>
  </si>
  <si>
    <t>Panettone</t>
  </si>
  <si>
    <t>Forminha para panetone</t>
  </si>
  <si>
    <t>fermento Bio</t>
  </si>
  <si>
    <t>essencia</t>
  </si>
  <si>
    <t>Bolo de cenoura</t>
  </si>
  <si>
    <t>cenoura</t>
  </si>
  <si>
    <t>brigadeiro recheio</t>
  </si>
  <si>
    <t>caixa transporte</t>
  </si>
  <si>
    <t>Lucro</t>
  </si>
  <si>
    <t>frete</t>
  </si>
  <si>
    <t>Massa Pão de Mel</t>
  </si>
  <si>
    <t>favinho</t>
  </si>
  <si>
    <t>canela</t>
  </si>
  <si>
    <t>oléo</t>
  </si>
  <si>
    <t>cupcake</t>
  </si>
  <si>
    <t>decoração simples</t>
  </si>
  <si>
    <t>Forminha</t>
  </si>
  <si>
    <t>chantilly</t>
  </si>
  <si>
    <r>
      <t xml:space="preserve">Metodologia </t>
    </r>
    <r>
      <rPr>
        <b/>
        <sz val="11"/>
        <rFont val="Calibri"/>
        <family val="2"/>
        <scheme val="minor"/>
      </rPr>
      <t>Concorrência</t>
    </r>
  </si>
  <si>
    <t>Empresa/confeiteira</t>
  </si>
  <si>
    <t>Local</t>
  </si>
  <si>
    <t>Produto</t>
  </si>
  <si>
    <t>Valor cobrado</t>
  </si>
  <si>
    <t>Valor médio</t>
  </si>
  <si>
    <t>Preço de venda com base na média</t>
  </si>
  <si>
    <t>Custo total de matéria-prima por unidade</t>
  </si>
  <si>
    <t>Custo total de matéria-prima por grama</t>
  </si>
  <si>
    <t>Cupcake</t>
  </si>
  <si>
    <r>
      <t xml:space="preserve">Metodologia </t>
    </r>
    <r>
      <rPr>
        <b/>
        <sz val="11"/>
        <rFont val="Calibri"/>
        <family val="2"/>
        <scheme val="minor"/>
      </rPr>
      <t>Markup</t>
    </r>
  </si>
  <si>
    <t>manteiga (g)</t>
  </si>
  <si>
    <t>%custos diretos</t>
  </si>
  <si>
    <t>%custos indiretos</t>
  </si>
  <si>
    <t>%lucro</t>
  </si>
  <si>
    <t>Fator de markup</t>
  </si>
  <si>
    <t xml:space="preserve">forminha </t>
  </si>
  <si>
    <t>MK= 100/(100-DV-DF-LP)</t>
  </si>
  <si>
    <t>Preço de venda</t>
  </si>
  <si>
    <t>INSTRUÇÕES</t>
  </si>
  <si>
    <t>Siga os seguintes passos:</t>
  </si>
  <si>
    <t>1. Na aba "Custos", você irá calcular os custos fixos e o valor da mão-de-obra.</t>
  </si>
  <si>
    <t>2. Na tabela "custos indiretos", você deverá preencher com as informações relacionadas as contas de concessionárias, taxas e materiais mensais.</t>
  </si>
  <si>
    <t>.Preencha na coluna "Item" com o nome de cada conta que faça parte desse tipo de custo.</t>
  </si>
  <si>
    <t>.Na coluna "Valor", você deverá colocar o valor total da conta.</t>
  </si>
  <si>
    <t>.Na coluna "Uso", preencha com a quantidade de cada item que será utilizado para a produção dos seus doces. Ex: para conta de luz, água, gás, recomenda-se utilizar uma porcentagem, caso você utilize o mesmo espaço da sua casa. Ou seja, 50% da conta de luz pertence a sua empresa.</t>
  </si>
  <si>
    <r>
      <rPr>
        <i/>
        <u/>
        <sz val="11"/>
        <color theme="1"/>
        <rFont val="Calibri"/>
        <family val="2"/>
        <scheme val="minor"/>
      </rPr>
      <t>obs:</t>
    </r>
    <r>
      <rPr>
        <i/>
        <sz val="11"/>
        <color theme="1"/>
        <rFont val="Calibri"/>
        <family val="2"/>
        <scheme val="minor"/>
      </rPr>
      <t xml:space="preserve"> para contabilizar o aluguel, caso seja utilizado o mesmo espaço da sua casa, divida o valor pela quantidade de cômodos usados na produção dos doces. Por exemplo: se a sua casa possui 6 cômodos e para produzir você utiliza a cozinha e um quarto, então o valor correspondente ao espaço físico da sua empresa será de 2 cômodos.</t>
    </r>
  </si>
  <si>
    <t>3. Na tabela "custos operacionais", você deverá preencher com as informações relacionadas ao seu salário desejado.</t>
  </si>
  <si>
    <t>obs: Nesta tabela, você deverá inserir o valor que a sua empresa comporta. E a medida que seu negócio for crescendo, você deverá alterar o valor correspondente ao seu salário de forma gradativa.</t>
  </si>
  <si>
    <t>4. Defina qual a metodologia que será utilizada para calcular o preço ideal de vendas para os seus produtos.</t>
  </si>
  <si>
    <t>. Produto M.CC. = produto calculado pela metodologia da concorrência.</t>
  </si>
  <si>
    <t>. Produto M.Mk. = produto calculado por Markup.</t>
  </si>
  <si>
    <t>. Produto M.MC. = produto calculado por Margem de Contribuição.</t>
  </si>
  <si>
    <t>5. Para cada produto, deverá existir uma aba com toda a descrição da ficha técnica e seus respectivos valores.</t>
  </si>
  <si>
    <t>*Para cada produto que você for utilizar a aba da metodologia escolhida, basta fazer uma cópia para inicar uma nova descrição. Para isto, você deve:</t>
  </si>
  <si>
    <t>.Clicar com o botão direito em cima da aba que contém o nome do produto;</t>
  </si>
  <si>
    <t>.Selecionar "Mover ou copiar" e abrirá uma nova janela;</t>
  </si>
  <si>
    <t>.Selecionar qual a aba você quer criar uma cópia e clicar em "Criar uma cópia";</t>
  </si>
  <si>
    <t>.Selecione "ok" para confirmar a cópia do modelo da planilha.</t>
  </si>
  <si>
    <t>.Feito isso, basta apagar os dados referente ao produto anterior na planilha que você acabou de fazer cópia e renomear com o nome do novo produto a ser calculado.</t>
  </si>
  <si>
    <t>obs: A planilha de precificação deverá ser feita para todos os recheios, massas e doce prontos.</t>
  </si>
  <si>
    <r>
      <rPr>
        <u/>
        <sz val="11"/>
        <color theme="1"/>
        <rFont val="Calibri"/>
        <family val="2"/>
        <scheme val="minor"/>
      </rPr>
      <t>Exemplo: Brownie 3D</t>
    </r>
    <r>
      <rPr>
        <sz val="11"/>
        <color theme="1"/>
        <rFont val="Calibri"/>
        <family val="2"/>
        <scheme val="minor"/>
      </rPr>
      <t xml:space="preserve"> - doce que possui uma casquinha de chocolate, recheado com massa de brownie e um sabor de brigadeiro, e decorado com pasta de leite em pó.</t>
    </r>
  </si>
  <si>
    <t>Logo, será preciso ter:</t>
  </si>
  <si>
    <t>. A planilha de precificação da massa do brownie</t>
  </si>
  <si>
    <t>.A planilha de precificação do recheio de brigadeiro</t>
  </si>
  <si>
    <t>.A planilha do doce completo.</t>
  </si>
  <si>
    <t>6. Sempre coloque observações importantes, como: se há diferença de tempo no forno a gas ou forno elétrico; se você utilizar um ingrediente de outra marca e etc.</t>
  </si>
  <si>
    <t>7. Utilize sempre o arquivo "Modelo precificação" como base para alimentar as informações.</t>
  </si>
  <si>
    <t>8. Nunca apague as informações dos produtos antigos, quando for fazer atualização. Eles te indicarão o crescimento e a variedade de produtos que você possui ao longo do tempo.</t>
  </si>
  <si>
    <t>9. Procure revisar a sua precificação em intervalos de tempo pré-definidos, pelo menos 1 vez ao ano. Ex: a cada 6 meses, a cada 3 meses e etc.</t>
  </si>
  <si>
    <t>CÁLCULO DE CUSTOS INDIRETOS | OPERACIONAIS</t>
  </si>
  <si>
    <t>CUSTOS INDIRETOS (ou fixos)</t>
  </si>
  <si>
    <t>CUSTO OPERACIONAIS (mão-de-obra)</t>
  </si>
  <si>
    <t>Valor</t>
  </si>
  <si>
    <t>Uso</t>
  </si>
  <si>
    <t>Valor por uso</t>
  </si>
  <si>
    <t>função</t>
  </si>
  <si>
    <t>salário</t>
  </si>
  <si>
    <t>confeiteira</t>
  </si>
  <si>
    <t>luz</t>
  </si>
  <si>
    <t>internet</t>
  </si>
  <si>
    <t>celular</t>
  </si>
  <si>
    <t>gas</t>
  </si>
  <si>
    <t>taxa mei</t>
  </si>
  <si>
    <t>embalagens e gasolina</t>
  </si>
  <si>
    <t>Custo Indireto total por mês</t>
  </si>
  <si>
    <t>Custo Indireto total por dia</t>
  </si>
  <si>
    <t>Custo Indireto total por hora</t>
  </si>
  <si>
    <t>Custo Indireto total por minuto</t>
  </si>
  <si>
    <t>Morango do amor</t>
  </si>
  <si>
    <t>brigadeiro Ninho</t>
  </si>
  <si>
    <t>morango</t>
  </si>
  <si>
    <t>palito</t>
  </si>
  <si>
    <t>vinagre</t>
  </si>
  <si>
    <t>glucose</t>
  </si>
  <si>
    <t>cremor tartaro</t>
  </si>
  <si>
    <t>embalagem 200ml</t>
  </si>
  <si>
    <t>Brigadeiro Ninho</t>
  </si>
  <si>
    <t>leite em pó</t>
  </si>
  <si>
    <t xml:space="preserve">Pasta leite </t>
  </si>
  <si>
    <t>lacre bolo</t>
  </si>
  <si>
    <t>recheio brig</t>
  </si>
  <si>
    <t>Brigadeiro boleado grande</t>
  </si>
  <si>
    <t>arroz doce</t>
  </si>
  <si>
    <t>arroz</t>
  </si>
  <si>
    <t>cravo</t>
  </si>
  <si>
    <t>choclate laka</t>
  </si>
  <si>
    <t>chocolate branco</t>
  </si>
  <si>
    <t>pasta leite</t>
  </si>
  <si>
    <t>Biscoitos decorados</t>
  </si>
  <si>
    <t>Manteiga</t>
  </si>
  <si>
    <t>glace real</t>
  </si>
  <si>
    <t>40 unidades</t>
  </si>
  <si>
    <t>saquinho 11x19</t>
  </si>
  <si>
    <t>fita cetinho</t>
  </si>
  <si>
    <t>sacola</t>
  </si>
  <si>
    <t xml:space="preserve"> Barra 180g</t>
  </si>
  <si>
    <t>reheio trufa</t>
  </si>
  <si>
    <t>110 unidades estrela</t>
  </si>
  <si>
    <t xml:space="preserve">bicarbonato </t>
  </si>
  <si>
    <t xml:space="preserve">canela </t>
  </si>
  <si>
    <t xml:space="preserve">cravo </t>
  </si>
  <si>
    <t xml:space="preserve">gengibre </t>
  </si>
  <si>
    <t xml:space="preserve">Biscoito de gengibre </t>
  </si>
  <si>
    <t xml:space="preserve">açucar mascavo </t>
  </si>
  <si>
    <t>melado</t>
  </si>
  <si>
    <t>20 bonecos</t>
  </si>
  <si>
    <t xml:space="preserve">TAG </t>
  </si>
  <si>
    <t xml:space="preserve">saquinho 11x19 </t>
  </si>
  <si>
    <t>arame</t>
  </si>
  <si>
    <t xml:space="preserve">sacola </t>
  </si>
  <si>
    <t>Bbbrowmie</t>
  </si>
  <si>
    <t>brownie</t>
  </si>
  <si>
    <t>fita cetim</t>
  </si>
  <si>
    <t>3 browmie</t>
  </si>
  <si>
    <t>tapetinho</t>
  </si>
  <si>
    <t>petala</t>
  </si>
  <si>
    <t>Pão de mel Boneco</t>
  </si>
  <si>
    <t>trufa tradicional</t>
  </si>
  <si>
    <t xml:space="preserve">embalagem </t>
  </si>
  <si>
    <t>Mini cake donuts</t>
  </si>
  <si>
    <t>425g meia receita</t>
  </si>
  <si>
    <t>oleo</t>
  </si>
  <si>
    <t>chocolate</t>
  </si>
  <si>
    <t>Biscoitos estrelinhas natal</t>
  </si>
  <si>
    <t>20 saqinhos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</si>
</sst>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[$R$ -416]#,##0.00"/>
    <numFmt numFmtId="166" formatCode="_-[$R$-416]\ * #,##0.00_-;\-[$R$-416]\ * #,##0.00_-;_-[$R$-416]\ * &quot;-&quot;??_-;_-@_-"/>
    <numFmt numFmtId="167" formatCode="0.0"/>
    <numFmt numFmtId="168" formatCode="&quot;R$&quot;\ #,##0.000"/>
    <numFmt numFmtId="169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sz val="10"/>
      <color theme="2" tint="-0.499984740745262"/>
      <name val="Arial"/>
      <family val="2"/>
    </font>
    <font>
      <b/>
      <sz val="10"/>
      <color theme="2" tint="-0.499984740745262"/>
      <name val="Arial"/>
      <family val="2"/>
    </font>
    <font>
      <b/>
      <sz val="12"/>
      <name val="Calibri"/>
      <family val="2"/>
      <scheme val="minor"/>
    </font>
    <font>
      <sz val="18"/>
      <color theme="1"/>
      <name val="Aharoni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E3"/>
        <bgColor indexed="64"/>
      </patternFill>
    </fill>
    <fill>
      <patternFill patternType="solid">
        <fgColor rgb="FFFFE7F3"/>
        <bgColor indexed="64"/>
      </patternFill>
    </fill>
    <fill>
      <patternFill patternType="solid">
        <fgColor rgb="FFFFDDEE"/>
        <bgColor indexed="64"/>
      </patternFill>
    </fill>
    <fill>
      <patternFill patternType="solid">
        <fgColor theme="9" tint="0.79998168889431442"/>
        <bgColor rgb="FFF3F3F3"/>
      </patternFill>
    </fill>
    <fill>
      <patternFill patternType="solid">
        <fgColor theme="2" tint="-0.499984740745262"/>
        <bgColor rgb="FFEAD1DC"/>
      </patternFill>
    </fill>
    <fill>
      <patternFill patternType="solid">
        <fgColor theme="2" tint="-0.499984740745262"/>
        <bgColor rgb="FFF3F3F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3F3F3"/>
      </patternFill>
    </fill>
    <fill>
      <patternFill patternType="solid">
        <fgColor theme="9" tint="0.39997558519241921"/>
        <bgColor rgb="FFF3F3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3" fillId="0" borderId="10" xfId="0" applyFont="1" applyBorder="1"/>
    <xf numFmtId="0" fontId="3" fillId="0" borderId="0" xfId="0" applyFont="1"/>
    <xf numFmtId="165" fontId="5" fillId="0" borderId="0" xfId="0" applyNumberFormat="1" applyFont="1"/>
    <xf numFmtId="0" fontId="3" fillId="0" borderId="2" xfId="0" applyFont="1" applyBorder="1"/>
    <xf numFmtId="0" fontId="3" fillId="0" borderId="12" xfId="0" applyFont="1" applyBorder="1"/>
    <xf numFmtId="0" fontId="3" fillId="0" borderId="12" xfId="0" applyFont="1" applyBorder="1" applyAlignment="1">
      <alignment horizontal="left"/>
    </xf>
    <xf numFmtId="0" fontId="3" fillId="0" borderId="11" xfId="0" applyFont="1" applyBorder="1"/>
    <xf numFmtId="0" fontId="8" fillId="4" borderId="10" xfId="0" applyFont="1" applyFill="1" applyBorder="1"/>
    <xf numFmtId="0" fontId="5" fillId="5" borderId="2" xfId="0" applyFont="1" applyFill="1" applyBorder="1"/>
    <xf numFmtId="165" fontId="5" fillId="4" borderId="11" xfId="0" applyNumberFormat="1" applyFont="1" applyFill="1" applyBorder="1"/>
    <xf numFmtId="0" fontId="5" fillId="0" borderId="0" xfId="0" applyFont="1"/>
    <xf numFmtId="165" fontId="3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166" fontId="8" fillId="0" borderId="0" xfId="0" applyNumberFormat="1" applyFont="1"/>
    <xf numFmtId="0" fontId="5" fillId="0" borderId="11" xfId="0" applyFont="1" applyBorder="1" applyAlignment="1">
      <alignment horizontal="right"/>
    </xf>
    <xf numFmtId="165" fontId="5" fillId="0" borderId="11" xfId="0" applyNumberFormat="1" applyFont="1" applyBorder="1"/>
    <xf numFmtId="165" fontId="3" fillId="0" borderId="11" xfId="0" applyNumberFormat="1" applyFont="1" applyBorder="1"/>
    <xf numFmtId="0" fontId="3" fillId="0" borderId="3" xfId="0" applyFont="1" applyBorder="1"/>
    <xf numFmtId="0" fontId="3" fillId="0" borderId="4" xfId="0" applyFont="1" applyBorder="1"/>
    <xf numFmtId="165" fontId="3" fillId="0" borderId="5" xfId="0" applyNumberFormat="1" applyFont="1" applyBorder="1"/>
    <xf numFmtId="0" fontId="3" fillId="0" borderId="6" xfId="0" applyFont="1" applyBorder="1"/>
    <xf numFmtId="165" fontId="3" fillId="0" borderId="7" xfId="0" applyNumberFormat="1" applyFont="1" applyBorder="1"/>
    <xf numFmtId="0" fontId="3" fillId="0" borderId="8" xfId="0" applyFont="1" applyBorder="1"/>
    <xf numFmtId="0" fontId="3" fillId="0" borderId="1" xfId="0" applyFont="1" applyBorder="1"/>
    <xf numFmtId="165" fontId="3" fillId="0" borderId="9" xfId="0" applyNumberFormat="1" applyFont="1" applyBorder="1"/>
    <xf numFmtId="9" fontId="11" fillId="0" borderId="2" xfId="0" applyNumberFormat="1" applyFont="1" applyBorder="1"/>
    <xf numFmtId="44" fontId="3" fillId="0" borderId="12" xfId="1" applyFont="1" applyBorder="1" applyAlignment="1">
      <alignment horizontal="left"/>
    </xf>
    <xf numFmtId="44" fontId="6" fillId="0" borderId="11" xfId="1" applyFont="1" applyBorder="1" applyProtection="1"/>
    <xf numFmtId="164" fontId="6" fillId="0" borderId="0" xfId="0" applyNumberFormat="1" applyFont="1"/>
    <xf numFmtId="0" fontId="9" fillId="0" borderId="0" xfId="0" applyFont="1"/>
    <xf numFmtId="0" fontId="3" fillId="0" borderId="0" xfId="0" applyFont="1" applyAlignment="1">
      <alignment horizontal="left"/>
    </xf>
    <xf numFmtId="44" fontId="6" fillId="0" borderId="0" xfId="1" applyFont="1" applyFill="1" applyBorder="1" applyProtection="1">
      <protection locked="0"/>
    </xf>
    <xf numFmtId="0" fontId="8" fillId="0" borderId="0" xfId="0" applyFont="1"/>
    <xf numFmtId="0" fontId="13" fillId="0" borderId="0" xfId="0" applyFont="1"/>
    <xf numFmtId="44" fontId="6" fillId="0" borderId="0" xfId="1" applyFont="1" applyFill="1" applyBorder="1"/>
    <xf numFmtId="0" fontId="5" fillId="0" borderId="0" xfId="0" applyFont="1" applyAlignment="1">
      <alignment horizontal="center"/>
    </xf>
    <xf numFmtId="44" fontId="3" fillId="0" borderId="12" xfId="0" applyNumberFormat="1" applyFont="1" applyBorder="1" applyAlignment="1">
      <alignment horizontal="left"/>
    </xf>
    <xf numFmtId="44" fontId="3" fillId="0" borderId="12" xfId="1" applyFont="1" applyFill="1" applyBorder="1" applyAlignment="1"/>
    <xf numFmtId="44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3" fillId="0" borderId="12" xfId="0" applyNumberFormat="1" applyFont="1" applyBorder="1" applyAlignment="1">
      <alignment horizontal="center"/>
    </xf>
    <xf numFmtId="0" fontId="3" fillId="0" borderId="12" xfId="1" applyNumberFormat="1" applyFont="1" applyFill="1" applyBorder="1" applyAlignment="1"/>
    <xf numFmtId="167" fontId="6" fillId="0" borderId="0" xfId="0" applyNumberFormat="1" applyFont="1"/>
    <xf numFmtId="0" fontId="3" fillId="0" borderId="11" xfId="2" applyNumberFormat="1" applyFont="1" applyFill="1" applyBorder="1"/>
    <xf numFmtId="0" fontId="6" fillId="0" borderId="11" xfId="2" applyNumberFormat="1" applyFont="1" applyFill="1" applyBorder="1"/>
    <xf numFmtId="9" fontId="3" fillId="0" borderId="0" xfId="2" applyFont="1" applyFill="1" applyBorder="1"/>
    <xf numFmtId="9" fontId="6" fillId="0" borderId="0" xfId="2" applyFont="1" applyFill="1" applyBorder="1"/>
    <xf numFmtId="0" fontId="11" fillId="0" borderId="0" xfId="0" applyFont="1"/>
    <xf numFmtId="0" fontId="3" fillId="0" borderId="0" xfId="2" applyNumberFormat="1" applyFont="1" applyFill="1" applyBorder="1"/>
    <xf numFmtId="9" fontId="6" fillId="0" borderId="0" xfId="2" applyFont="1" applyBorder="1"/>
    <xf numFmtId="0" fontId="5" fillId="6" borderId="10" xfId="0" applyFont="1" applyFill="1" applyBorder="1"/>
    <xf numFmtId="0" fontId="5" fillId="6" borderId="2" xfId="0" applyFont="1" applyFill="1" applyBorder="1" applyAlignment="1">
      <alignment horizontal="left"/>
    </xf>
    <xf numFmtId="44" fontId="5" fillId="6" borderId="11" xfId="0" applyNumberFormat="1" applyFont="1" applyFill="1" applyBorder="1" applyAlignment="1">
      <alignment horizontal="left"/>
    </xf>
    <xf numFmtId="0" fontId="5" fillId="2" borderId="10" xfId="0" applyFont="1" applyFill="1" applyBorder="1"/>
    <xf numFmtId="9" fontId="12" fillId="2" borderId="2" xfId="0" applyNumberFormat="1" applyFont="1" applyFill="1" applyBorder="1"/>
    <xf numFmtId="0" fontId="5" fillId="2" borderId="2" xfId="0" applyFont="1" applyFill="1" applyBorder="1"/>
    <xf numFmtId="44" fontId="5" fillId="2" borderId="11" xfId="1" applyFont="1" applyFill="1" applyBorder="1"/>
    <xf numFmtId="0" fontId="5" fillId="7" borderId="10" xfId="0" applyFont="1" applyFill="1" applyBorder="1"/>
    <xf numFmtId="0" fontId="5" fillId="7" borderId="2" xfId="0" applyFont="1" applyFill="1" applyBorder="1" applyAlignment="1">
      <alignment horizontal="left"/>
    </xf>
    <xf numFmtId="44" fontId="5" fillId="7" borderId="11" xfId="0" applyNumberFormat="1" applyFont="1" applyFill="1" applyBorder="1" applyAlignment="1">
      <alignment horizontal="left"/>
    </xf>
    <xf numFmtId="0" fontId="5" fillId="8" borderId="10" xfId="0" applyFont="1" applyFill="1" applyBorder="1"/>
    <xf numFmtId="0" fontId="3" fillId="8" borderId="10" xfId="0" applyFont="1" applyFill="1" applyBorder="1"/>
    <xf numFmtId="9" fontId="11" fillId="8" borderId="2" xfId="0" applyNumberFormat="1" applyFont="1" applyFill="1" applyBorder="1"/>
    <xf numFmtId="0" fontId="3" fillId="8" borderId="2" xfId="0" applyFont="1" applyFill="1" applyBorder="1"/>
    <xf numFmtId="2" fontId="3" fillId="8" borderId="11" xfId="2" applyNumberFormat="1" applyFont="1" applyFill="1" applyBorder="1"/>
    <xf numFmtId="0" fontId="6" fillId="8" borderId="11" xfId="0" applyFont="1" applyFill="1" applyBorder="1"/>
    <xf numFmtId="0" fontId="13" fillId="8" borderId="10" xfId="0" applyFont="1" applyFill="1" applyBorder="1"/>
    <xf numFmtId="0" fontId="6" fillId="8" borderId="2" xfId="0" applyFont="1" applyFill="1" applyBorder="1"/>
    <xf numFmtId="44" fontId="6" fillId="8" borderId="11" xfId="1" applyFont="1" applyFill="1" applyBorder="1"/>
    <xf numFmtId="0" fontId="8" fillId="3" borderId="10" xfId="0" applyFont="1" applyFill="1" applyBorder="1"/>
    <xf numFmtId="0" fontId="5" fillId="3" borderId="2" xfId="0" applyFont="1" applyFill="1" applyBorder="1"/>
    <xf numFmtId="165" fontId="5" fillId="3" borderId="11" xfId="0" applyNumberFormat="1" applyFont="1" applyFill="1" applyBorder="1"/>
    <xf numFmtId="0" fontId="7" fillId="9" borderId="10" xfId="0" applyFont="1" applyFill="1" applyBorder="1"/>
    <xf numFmtId="0" fontId="3" fillId="3" borderId="2" xfId="0" applyFont="1" applyFill="1" applyBorder="1"/>
    <xf numFmtId="0" fontId="6" fillId="3" borderId="2" xfId="0" applyFont="1" applyFill="1" applyBorder="1"/>
    <xf numFmtId="165" fontId="3" fillId="9" borderId="11" xfId="0" applyNumberFormat="1" applyFont="1" applyFill="1" applyBorder="1"/>
    <xf numFmtId="0" fontId="4" fillId="0" borderId="0" xfId="0" applyFont="1"/>
    <xf numFmtId="0" fontId="2" fillId="0" borderId="0" xfId="0" applyFont="1"/>
    <xf numFmtId="1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15" fillId="0" borderId="0" xfId="0" applyFont="1"/>
    <xf numFmtId="44" fontId="1" fillId="0" borderId="0" xfId="1" applyFont="1" applyFill="1" applyBorder="1"/>
    <xf numFmtId="0" fontId="9" fillId="11" borderId="12" xfId="0" applyFont="1" applyFill="1" applyBorder="1"/>
    <xf numFmtId="0" fontId="9" fillId="11" borderId="12" xfId="0" applyFont="1" applyFill="1" applyBorder="1" applyAlignment="1">
      <alignment horizontal="center"/>
    </xf>
    <xf numFmtId="0" fontId="10" fillId="14" borderId="1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wrapText="1"/>
    </xf>
    <xf numFmtId="0" fontId="3" fillId="0" borderId="12" xfId="0" applyFont="1" applyBorder="1" applyAlignment="1">
      <alignment horizontal="right"/>
    </xf>
    <xf numFmtId="0" fontId="3" fillId="14" borderId="2" xfId="0" applyFont="1" applyFill="1" applyBorder="1"/>
    <xf numFmtId="0" fontId="6" fillId="14" borderId="11" xfId="2" applyNumberFormat="1" applyFont="1" applyFill="1" applyBorder="1"/>
    <xf numFmtId="44" fontId="6" fillId="0" borderId="11" xfId="1" applyFont="1" applyFill="1" applyBorder="1"/>
    <xf numFmtId="0" fontId="8" fillId="15" borderId="10" xfId="0" applyFont="1" applyFill="1" applyBorder="1"/>
    <xf numFmtId="0" fontId="5" fillId="16" borderId="2" xfId="0" applyFont="1" applyFill="1" applyBorder="1"/>
    <xf numFmtId="165" fontId="5" fillId="15" borderId="11" xfId="0" applyNumberFormat="1" applyFont="1" applyFill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0" applyFont="1"/>
    <xf numFmtId="9" fontId="3" fillId="0" borderId="12" xfId="2" applyFont="1" applyBorder="1" applyAlignment="1">
      <alignment horizontal="center"/>
    </xf>
    <xf numFmtId="44" fontId="3" fillId="0" borderId="12" xfId="1" applyFont="1" applyBorder="1" applyAlignment="1">
      <alignment horizontal="right"/>
    </xf>
    <xf numFmtId="44" fontId="5" fillId="6" borderId="11" xfId="1" applyFont="1" applyFill="1" applyBorder="1" applyAlignment="1">
      <alignment horizontal="right"/>
    </xf>
    <xf numFmtId="44" fontId="5" fillId="7" borderId="11" xfId="1" applyFont="1" applyFill="1" applyBorder="1" applyAlignment="1">
      <alignment horizontal="right"/>
    </xf>
    <xf numFmtId="44" fontId="6" fillId="0" borderId="0" xfId="1" applyFont="1" applyBorder="1" applyProtection="1"/>
    <xf numFmtId="44" fontId="5" fillId="0" borderId="11" xfId="1" applyFont="1" applyBorder="1" applyAlignment="1">
      <alignment horizontal="center"/>
    </xf>
    <xf numFmtId="44" fontId="5" fillId="13" borderId="11" xfId="1" applyFont="1" applyFill="1" applyBorder="1" applyAlignment="1">
      <alignment horizontal="center" vertical="center"/>
    </xf>
    <xf numFmtId="165" fontId="6" fillId="8" borderId="11" xfId="1" applyNumberFormat="1" applyFont="1" applyFill="1" applyBorder="1"/>
    <xf numFmtId="9" fontId="3" fillId="0" borderId="2" xfId="2" applyFont="1" applyBorder="1"/>
    <xf numFmtId="44" fontId="5" fillId="0" borderId="11" xfId="0" applyNumberFormat="1" applyFont="1" applyBorder="1" applyAlignment="1">
      <alignment horizontal="center"/>
    </xf>
    <xf numFmtId="1" fontId="3" fillId="0" borderId="2" xfId="0" applyNumberFormat="1" applyFont="1" applyBorder="1"/>
    <xf numFmtId="168" fontId="6" fillId="0" borderId="0" xfId="0" applyNumberFormat="1" applyFont="1"/>
    <xf numFmtId="166" fontId="3" fillId="0" borderId="12" xfId="0" applyNumberFormat="1" applyFont="1" applyBorder="1" applyAlignment="1">
      <alignment horizontal="left"/>
    </xf>
    <xf numFmtId="44" fontId="6" fillId="0" borderId="0" xfId="0" applyNumberFormat="1" applyFont="1"/>
    <xf numFmtId="0" fontId="7" fillId="18" borderId="10" xfId="0" applyFont="1" applyFill="1" applyBorder="1"/>
    <xf numFmtId="0" fontId="3" fillId="2" borderId="2" xfId="0" applyFont="1" applyFill="1" applyBorder="1"/>
    <xf numFmtId="0" fontId="6" fillId="2" borderId="2" xfId="0" applyFont="1" applyFill="1" applyBorder="1"/>
    <xf numFmtId="165" fontId="3" fillId="18" borderId="11" xfId="0" applyNumberFormat="1" applyFont="1" applyFill="1" applyBorder="1"/>
    <xf numFmtId="0" fontId="7" fillId="19" borderId="10" xfId="0" applyFont="1" applyFill="1" applyBorder="1"/>
    <xf numFmtId="0" fontId="3" fillId="20" borderId="2" xfId="0" applyFont="1" applyFill="1" applyBorder="1"/>
    <xf numFmtId="0" fontId="6" fillId="20" borderId="2" xfId="0" applyFont="1" applyFill="1" applyBorder="1"/>
    <xf numFmtId="165" fontId="3" fillId="19" borderId="11" xfId="0" applyNumberFormat="1" applyFont="1" applyFill="1" applyBorder="1"/>
    <xf numFmtId="164" fontId="3" fillId="0" borderId="11" xfId="0" applyNumberFormat="1" applyFont="1" applyBorder="1"/>
    <xf numFmtId="0" fontId="8" fillId="21" borderId="10" xfId="0" applyFont="1" applyFill="1" applyBorder="1"/>
    <xf numFmtId="0" fontId="5" fillId="21" borderId="2" xfId="0" applyFont="1" applyFill="1" applyBorder="1"/>
    <xf numFmtId="165" fontId="5" fillId="21" borderId="11" xfId="0" applyNumberFormat="1" applyFont="1" applyFill="1" applyBorder="1"/>
    <xf numFmtId="44" fontId="6" fillId="0" borderId="0" xfId="1" applyFont="1"/>
    <xf numFmtId="164" fontId="3" fillId="0" borderId="0" xfId="0" applyNumberFormat="1" applyFont="1"/>
    <xf numFmtId="2" fontId="6" fillId="0" borderId="0" xfId="0" applyNumberFormat="1" applyFont="1"/>
    <xf numFmtId="169" fontId="3" fillId="0" borderId="2" xfId="3" applyNumberFormat="1" applyFont="1" applyBorder="1"/>
    <xf numFmtId="44" fontId="5" fillId="0" borderId="11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9" fillId="11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6" fillId="0" borderId="0" xfId="0" applyFont="1" applyAlignment="1">
      <alignment horizontal="left" wrapText="1"/>
    </xf>
    <xf numFmtId="0" fontId="10" fillId="14" borderId="11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17" borderId="10" xfId="0" applyFont="1" applyFill="1" applyBorder="1" applyAlignment="1">
      <alignment horizontal="left"/>
    </xf>
    <xf numFmtId="0" fontId="3" fillId="17" borderId="2" xfId="0" applyFont="1" applyFill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 wrapText="1"/>
    </xf>
    <xf numFmtId="0" fontId="5" fillId="13" borderId="0" xfId="0" applyFont="1" applyFill="1" applyAlignment="1">
      <alignment horizontal="center"/>
    </xf>
    <xf numFmtId="0" fontId="9" fillId="12" borderId="8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0" fillId="14" borderId="10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9" fillId="12" borderId="10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colors>
    <mruColors>
      <color rgb="FFFFCCFF"/>
      <color rgb="FFFF99CC"/>
      <color rgb="FFFFC7E3"/>
      <color rgb="FFFFB7DB"/>
      <color rgb="FFFFE7F3"/>
      <color rgb="FFFFF6D9"/>
      <color rgb="FFFFFBEF"/>
      <color rgb="FFFFEFBD"/>
      <color rgb="FFFFDDEE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hartsheet" Target="chartsheets/sheet1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59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'Massa Pão de Mel'!$D$16:$E$18</c:f>
              <c:multiLvlStrCache>
                <c:ptCount val="3"/>
                <c:lvl>
                  <c:pt idx="0">
                    <c:v>0</c:v>
                  </c:pt>
                  <c:pt idx="1">
                    <c:v>0</c:v>
                  </c:pt>
                  <c:pt idx="2">
                    <c:v>Custo total de matéria-prima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</c:lvl>
              </c:multiLvlStrCache>
            </c:multiLvlStrRef>
          </c:cat>
          <c:val>
            <c:numRef>
              <c:f>'Massa Pão de Mel'!$F$16:$F$18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D-4212-BA6F-378B8F488FD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'Massa Pão de Mel'!$D$16:$E$18</c:f>
              <c:multiLvlStrCache>
                <c:ptCount val="3"/>
                <c:lvl>
                  <c:pt idx="0">
                    <c:v>0</c:v>
                  </c:pt>
                  <c:pt idx="1">
                    <c:v>0</c:v>
                  </c:pt>
                  <c:pt idx="2">
                    <c:v>Custo total de matéria-prima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</c:lvl>
              </c:multiLvlStrCache>
            </c:multiLvlStrRef>
          </c:cat>
          <c:val>
            <c:numRef>
              <c:f>'Massa Pão de Mel'!$G$16:$G$18</c:f>
              <c:numCache>
                <c:formatCode>_("R$"* #,##0.00_);_("R$"* \(#,##0.00\);_("R$"* "-"??_);_(@_)</c:formatCode>
                <c:ptCount val="3"/>
                <c:pt idx="2" formatCode="[$R$ -416]#,##0.00">
                  <c:v>18.129960000000001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D-4212-BA6F-378B8F488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342304"/>
        <c:axId val="215339808"/>
      </c:barChart>
      <c:catAx>
        <c:axId val="21534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5339808"/>
        <c:crosses val="autoZero"/>
        <c:auto val="1"/>
        <c:lblAlgn val="ctr"/>
        <c:lblOffset val="100"/>
        <c:noMultiLvlLbl val="0"/>
      </c:catAx>
      <c:valAx>
        <c:axId val="2153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53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100-000000000000}">
  <sheetPr/>
  <sheetViews>
    <sheetView zoomScale="11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6081" cy="601366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030262-A25E-D05F-444E-23C9DCA575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workbookViewId="0">
      <selection activeCell="F10" sqref="F10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</v>
      </c>
      <c r="C3" s="144"/>
      <c r="D3" s="145"/>
      <c r="E3" s="3" t="s">
        <v>3</v>
      </c>
      <c r="F3" s="6">
        <v>15</v>
      </c>
      <c r="G3" s="9"/>
      <c r="H3" s="3" t="s">
        <v>4</v>
      </c>
      <c r="I3" s="6"/>
      <c r="J3" s="9">
        <v>120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10</v>
      </c>
      <c r="B6" s="140"/>
      <c r="C6" s="141"/>
      <c r="D6" s="7">
        <v>3000</v>
      </c>
      <c r="E6" s="30">
        <v>40</v>
      </c>
      <c r="F6" s="8">
        <v>150</v>
      </c>
      <c r="G6" s="31">
        <f>(F6*E6)/D6</f>
        <v>2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</v>
      </c>
      <c r="B7" s="140"/>
      <c r="C7" s="141"/>
      <c r="D7" s="7">
        <v>1000</v>
      </c>
      <c r="E7" s="30">
        <v>4.5</v>
      </c>
      <c r="F7" s="8">
        <v>95</v>
      </c>
      <c r="G7" s="31">
        <f t="shared" ref="G7:G17" si="0">(F7*E7)/D7</f>
        <v>0.42749999999999999</v>
      </c>
      <c r="H7" s="4"/>
      <c r="I7" s="152" t="s">
        <v>13</v>
      </c>
      <c r="J7" s="153"/>
      <c r="K7" s="18">
        <v>0.02</v>
      </c>
    </row>
    <row r="8" spans="1:14" ht="15" customHeight="1" x14ac:dyDescent="0.25">
      <c r="A8" s="139" t="s">
        <v>14</v>
      </c>
      <c r="B8" s="140"/>
      <c r="C8" s="141"/>
      <c r="D8" s="7">
        <v>1000</v>
      </c>
      <c r="E8" s="30">
        <v>4.5</v>
      </c>
      <c r="F8" s="8">
        <v>45</v>
      </c>
      <c r="G8" s="31">
        <f t="shared" si="0"/>
        <v>0.20250000000000001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16</v>
      </c>
      <c r="B9" s="140"/>
      <c r="C9" s="141"/>
      <c r="D9" s="7">
        <v>1000</v>
      </c>
      <c r="E9" s="30">
        <v>15</v>
      </c>
      <c r="F9" s="8">
        <v>45</v>
      </c>
      <c r="G9" s="31">
        <f t="shared" si="0"/>
        <v>0.67500000000000004</v>
      </c>
      <c r="H9" s="4"/>
      <c r="J9" s="4"/>
      <c r="K9" s="5"/>
    </row>
    <row r="10" spans="1:14" ht="15" customHeight="1" x14ac:dyDescent="0.25">
      <c r="A10" s="139" t="s">
        <v>17</v>
      </c>
      <c r="B10" s="140"/>
      <c r="C10" s="141"/>
      <c r="D10" s="7">
        <v>250</v>
      </c>
      <c r="E10" s="30">
        <v>8</v>
      </c>
      <c r="F10" s="8">
        <v>7</v>
      </c>
      <c r="G10" s="31">
        <f t="shared" si="0"/>
        <v>0.224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19</v>
      </c>
      <c r="B11" s="140"/>
      <c r="C11" s="141"/>
      <c r="D11" s="7">
        <v>1000</v>
      </c>
      <c r="E11" s="30">
        <v>1</v>
      </c>
      <c r="F11" s="8">
        <v>15</v>
      </c>
      <c r="G11" s="31">
        <f t="shared" si="0"/>
        <v>1.4999999999999999E-2</v>
      </c>
      <c r="H11" s="4"/>
      <c r="I11" s="21" t="s">
        <v>20</v>
      </c>
      <c r="J11" s="22"/>
      <c r="K11" s="22"/>
      <c r="L11" s="23">
        <f>K7*J3</f>
        <v>2.4</v>
      </c>
    </row>
    <row r="12" spans="1:14" ht="15" customHeight="1" x14ac:dyDescent="0.25">
      <c r="A12" s="139" t="s">
        <v>21</v>
      </c>
      <c r="B12" s="140"/>
      <c r="C12" s="141"/>
      <c r="D12" s="7">
        <v>15</v>
      </c>
      <c r="E12" s="8">
        <v>3</v>
      </c>
      <c r="F12" s="8">
        <v>2</v>
      </c>
      <c r="G12" s="31">
        <f t="shared" si="0"/>
        <v>0.4</v>
      </c>
      <c r="H12" s="4"/>
      <c r="I12" s="24" t="s">
        <v>22</v>
      </c>
      <c r="J12" s="4"/>
      <c r="K12" s="4"/>
      <c r="L12" s="25">
        <f>G18</f>
        <v>22.544</v>
      </c>
    </row>
    <row r="13" spans="1:14" ht="15" customHeight="1" x14ac:dyDescent="0.25">
      <c r="A13" s="139" t="s">
        <v>23</v>
      </c>
      <c r="B13" s="140"/>
      <c r="C13" s="141"/>
      <c r="D13" s="7">
        <v>1000</v>
      </c>
      <c r="E13" s="8">
        <v>16</v>
      </c>
      <c r="F13" s="8">
        <v>100</v>
      </c>
      <c r="G13" s="31">
        <f t="shared" si="0"/>
        <v>1.6</v>
      </c>
      <c r="H13" s="4"/>
      <c r="I13" s="26" t="s">
        <v>24</v>
      </c>
      <c r="J13" s="27"/>
      <c r="K13" s="27"/>
      <c r="L13" s="28">
        <f>K8*J3</f>
        <v>11.363636363636365</v>
      </c>
    </row>
    <row r="14" spans="1:14" ht="15" customHeight="1" x14ac:dyDescent="0.25">
      <c r="A14" s="139" t="s">
        <v>25</v>
      </c>
      <c r="B14" s="140"/>
      <c r="C14" s="141"/>
      <c r="D14" s="7">
        <v>1000</v>
      </c>
      <c r="E14" s="8">
        <v>30</v>
      </c>
      <c r="F14" s="8">
        <v>400</v>
      </c>
      <c r="G14" s="31">
        <f t="shared" si="0"/>
        <v>12</v>
      </c>
      <c r="H14" s="4"/>
      <c r="I14" s="73" t="s">
        <v>26</v>
      </c>
      <c r="J14" s="74"/>
      <c r="K14" s="74"/>
      <c r="L14" s="75">
        <f>SUM(L11:L13)</f>
        <v>36.307636363636362</v>
      </c>
    </row>
    <row r="15" spans="1:14" ht="15" customHeight="1" x14ac:dyDescent="0.25">
      <c r="A15" s="139" t="s">
        <v>27</v>
      </c>
      <c r="B15" s="140"/>
      <c r="C15" s="141"/>
      <c r="D15" s="7">
        <v>40</v>
      </c>
      <c r="E15" s="8">
        <v>10</v>
      </c>
      <c r="F15" s="8">
        <v>20</v>
      </c>
      <c r="G15" s="31">
        <f t="shared" si="0"/>
        <v>5</v>
      </c>
      <c r="H15" s="4"/>
      <c r="I15" s="3" t="s">
        <v>28</v>
      </c>
      <c r="J15" s="6"/>
      <c r="K15" s="6"/>
      <c r="L15" s="20">
        <f>L14*0.5</f>
        <v>18.153818181818181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54.461454545454544</v>
      </c>
    </row>
    <row r="17" spans="1:15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5" ht="15" customHeight="1" x14ac:dyDescent="0.25">
      <c r="E18" s="10" t="s">
        <v>31</v>
      </c>
      <c r="F18" s="11"/>
      <c r="G18" s="31">
        <f>SUM(G6:G17)</f>
        <v>22.544</v>
      </c>
      <c r="H18" s="4"/>
    </row>
    <row r="19" spans="1:15" ht="15" customHeight="1" x14ac:dyDescent="0.25">
      <c r="H19" s="4"/>
    </row>
    <row r="20" spans="1:15" ht="15" customHeight="1" x14ac:dyDescent="0.25">
      <c r="H20" s="4"/>
      <c r="I20" s="4"/>
      <c r="J20" s="4"/>
      <c r="K20" s="4"/>
    </row>
    <row r="21" spans="1:15" ht="15" customHeight="1" x14ac:dyDescent="0.25">
      <c r="H21" s="4"/>
      <c r="I21" s="4"/>
      <c r="J21" s="4"/>
      <c r="K21" s="4"/>
    </row>
    <row r="22" spans="1:15" ht="15" customHeight="1" x14ac:dyDescent="0.25">
      <c r="B22" s="4"/>
      <c r="C22" s="4"/>
      <c r="D22" s="4"/>
      <c r="E22" s="4"/>
      <c r="F22" s="4"/>
      <c r="G22" s="129">
        <f>O31/F3</f>
        <v>3.6738424242424239</v>
      </c>
      <c r="H22" s="4"/>
      <c r="I22" s="4"/>
      <c r="J22" s="4"/>
      <c r="K22" s="4"/>
    </row>
    <row r="23" spans="1:15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5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5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L25" s="3" t="s">
        <v>28</v>
      </c>
      <c r="M25" s="6"/>
      <c r="N25" s="6"/>
      <c r="O25" s="20">
        <f>L14*0.3</f>
        <v>10.892290909090908</v>
      </c>
    </row>
    <row r="26" spans="1:15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L26" s="3" t="s">
        <v>32</v>
      </c>
      <c r="M26" s="6"/>
      <c r="N26" s="6"/>
      <c r="O26" s="124">
        <f>18.8*0.5</f>
        <v>9.4</v>
      </c>
    </row>
    <row r="27" spans="1:15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L27" s="3" t="s">
        <v>33</v>
      </c>
      <c r="M27" s="6"/>
      <c r="N27" s="6"/>
      <c r="O27" s="124">
        <f>18.8*1</f>
        <v>18.8</v>
      </c>
    </row>
    <row r="28" spans="1:15" ht="15" customHeight="1" x14ac:dyDescent="0.25">
      <c r="B28" s="4"/>
      <c r="C28" s="4"/>
      <c r="D28" s="4"/>
      <c r="E28" s="14"/>
      <c r="F28" s="14"/>
      <c r="G28" s="14"/>
      <c r="K28" s="4"/>
    </row>
    <row r="29" spans="1:15" ht="15" customHeight="1" x14ac:dyDescent="0.25">
      <c r="B29" s="4"/>
      <c r="C29" s="4"/>
      <c r="D29" s="4"/>
      <c r="E29" s="14"/>
      <c r="F29" s="14"/>
      <c r="G29" s="14"/>
      <c r="K29" s="4"/>
      <c r="L29" s="76" t="s">
        <v>34</v>
      </c>
      <c r="M29" s="77"/>
      <c r="N29" s="78"/>
      <c r="O29" s="79">
        <f>L14+L15</f>
        <v>54.461454545454544</v>
      </c>
    </row>
    <row r="30" spans="1:15" ht="15" customHeight="1" x14ac:dyDescent="0.25">
      <c r="B30" s="4"/>
      <c r="C30" s="4"/>
      <c r="D30" s="4"/>
      <c r="E30" s="14"/>
      <c r="F30" s="14"/>
      <c r="G30" s="14"/>
      <c r="K30" s="4"/>
      <c r="L30" s="116" t="s">
        <v>35</v>
      </c>
      <c r="M30" s="117"/>
      <c r="N30" s="118"/>
      <c r="O30" s="119">
        <f>L14+O26</f>
        <v>45.707636363636361</v>
      </c>
    </row>
    <row r="31" spans="1:15" ht="15" customHeight="1" x14ac:dyDescent="0.25">
      <c r="B31" s="4"/>
      <c r="C31" s="4"/>
      <c r="D31" s="4"/>
      <c r="E31" s="4"/>
      <c r="F31" s="4"/>
      <c r="G31" s="4"/>
      <c r="K31" s="4"/>
      <c r="L31" s="120" t="s">
        <v>36</v>
      </c>
      <c r="M31" s="121"/>
      <c r="N31" s="122"/>
      <c r="O31" s="123">
        <f>L14+O27</f>
        <v>55.10763636363636</v>
      </c>
    </row>
    <row r="32" spans="1:15" ht="15" customHeight="1" x14ac:dyDescent="0.25">
      <c r="B32" s="16"/>
      <c r="C32" s="4"/>
      <c r="D32" s="4"/>
      <c r="E32" s="17"/>
      <c r="F32" s="17"/>
      <c r="G32" s="17"/>
      <c r="K32" s="4"/>
      <c r="L32" s="4"/>
      <c r="M32" s="4"/>
      <c r="N32" s="4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AECB-1935-47EF-97E1-3663C0E1515C}">
  <sheetPr>
    <tabColor rgb="FFFFB7DB"/>
  </sheetPr>
  <dimension ref="A1:N32"/>
  <sheetViews>
    <sheetView showGridLines="0" workbookViewId="0">
      <selection activeCell="E11" sqref="E11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37</v>
      </c>
      <c r="C3" s="144"/>
      <c r="D3" s="145"/>
      <c r="E3" s="3" t="s">
        <v>3</v>
      </c>
      <c r="F3" s="112">
        <v>1</v>
      </c>
      <c r="G3" s="9"/>
      <c r="H3" s="3" t="s">
        <v>4</v>
      </c>
      <c r="I3" s="6"/>
      <c r="J3" s="9">
        <v>120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38</v>
      </c>
      <c r="B6" s="140"/>
      <c r="C6" s="141"/>
      <c r="D6" s="7">
        <v>1</v>
      </c>
      <c r="E6" s="30">
        <v>30</v>
      </c>
      <c r="F6" s="8">
        <v>1</v>
      </c>
      <c r="G6" s="31">
        <f>(F6*E6)/D6</f>
        <v>30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39</v>
      </c>
      <c r="B7" s="140"/>
      <c r="C7" s="141"/>
      <c r="D7" s="7">
        <v>1</v>
      </c>
      <c r="E7" s="30">
        <v>4</v>
      </c>
      <c r="F7" s="8">
        <v>1</v>
      </c>
      <c r="G7" s="31">
        <f>(F7*E7)/D7</f>
        <v>4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41</v>
      </c>
      <c r="B8" s="140"/>
      <c r="C8" s="141"/>
      <c r="D8" s="7">
        <v>1</v>
      </c>
      <c r="E8" s="30">
        <v>31.7</v>
      </c>
      <c r="F8" s="8">
        <v>1</v>
      </c>
      <c r="G8" s="31">
        <f t="shared" ref="G8:G13" si="0">(F8*E8)/D8</f>
        <v>31.7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42</v>
      </c>
      <c r="B9" s="140"/>
      <c r="C9" s="141"/>
      <c r="D9" s="7">
        <v>1</v>
      </c>
      <c r="E9" s="30">
        <v>3.5</v>
      </c>
      <c r="F9" s="8">
        <v>15</v>
      </c>
      <c r="G9" s="31">
        <f t="shared" si="0"/>
        <v>52.5</v>
      </c>
      <c r="H9" s="4"/>
      <c r="J9" s="4"/>
      <c r="K9" s="5"/>
    </row>
    <row r="10" spans="1:14" ht="15" customHeight="1" x14ac:dyDescent="0.25">
      <c r="A10" s="139" t="s">
        <v>43</v>
      </c>
      <c r="B10" s="140"/>
      <c r="C10" s="141"/>
      <c r="D10" s="7">
        <v>1</v>
      </c>
      <c r="E10" s="30">
        <v>5</v>
      </c>
      <c r="F10" s="8">
        <v>7</v>
      </c>
      <c r="G10" s="31">
        <f t="shared" si="0"/>
        <v>35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44</v>
      </c>
      <c r="B11" s="140"/>
      <c r="C11" s="141"/>
      <c r="D11" s="7">
        <v>1</v>
      </c>
      <c r="E11" s="30">
        <v>18</v>
      </c>
      <c r="F11" s="8">
        <v>1</v>
      </c>
      <c r="G11" s="31">
        <f t="shared" si="0"/>
        <v>18</v>
      </c>
      <c r="H11" s="4"/>
      <c r="I11" s="21" t="s">
        <v>20</v>
      </c>
      <c r="J11" s="22"/>
      <c r="K11" s="22"/>
      <c r="L11" s="23">
        <f>K7*J3</f>
        <v>2.6444444444444444</v>
      </c>
    </row>
    <row r="12" spans="1:14" ht="15" customHeight="1" x14ac:dyDescent="0.25">
      <c r="A12" s="139" t="s">
        <v>45</v>
      </c>
      <c r="B12" s="140"/>
      <c r="C12" s="141"/>
      <c r="D12" s="7">
        <v>1000</v>
      </c>
      <c r="E12" s="30">
        <v>100</v>
      </c>
      <c r="F12" s="8">
        <v>3</v>
      </c>
      <c r="G12" s="31">
        <f t="shared" si="0"/>
        <v>0.3</v>
      </c>
      <c r="H12" s="4"/>
      <c r="I12" s="24" t="s">
        <v>22</v>
      </c>
      <c r="J12" s="4"/>
      <c r="K12" s="4"/>
      <c r="L12" s="25">
        <f>G18</f>
        <v>191.5</v>
      </c>
    </row>
    <row r="13" spans="1:14" ht="15" customHeight="1" x14ac:dyDescent="0.25">
      <c r="A13" s="139" t="s">
        <v>46</v>
      </c>
      <c r="B13" s="140"/>
      <c r="C13" s="141"/>
      <c r="D13" s="7">
        <v>1</v>
      </c>
      <c r="E13" s="30">
        <v>20</v>
      </c>
      <c r="F13" s="8">
        <v>1</v>
      </c>
      <c r="G13" s="31">
        <f t="shared" si="0"/>
        <v>20</v>
      </c>
      <c r="H13" s="4"/>
      <c r="I13" s="26" t="s">
        <v>24</v>
      </c>
      <c r="J13" s="27"/>
      <c r="K13" s="27"/>
      <c r="L13" s="28">
        <f>K8*J3</f>
        <v>11.363636363636365</v>
      </c>
    </row>
    <row r="14" spans="1:14" ht="15" customHeight="1" x14ac:dyDescent="0.25">
      <c r="A14" s="139"/>
      <c r="B14" s="140"/>
      <c r="C14" s="141"/>
      <c r="D14" s="7"/>
      <c r="E14" s="30"/>
      <c r="F14" s="8"/>
      <c r="G14" s="31"/>
      <c r="H14" s="4"/>
      <c r="I14" s="73" t="s">
        <v>26</v>
      </c>
      <c r="J14" s="74"/>
      <c r="K14" s="74"/>
      <c r="L14" s="75">
        <f>SUM(L11:L13)</f>
        <v>205.50808080808082</v>
      </c>
    </row>
    <row r="15" spans="1:14" ht="15" customHeight="1" x14ac:dyDescent="0.25">
      <c r="A15" s="139"/>
      <c r="B15" s="140"/>
      <c r="C15" s="141"/>
      <c r="D15" s="7"/>
      <c r="E15" s="30"/>
      <c r="F15" s="8"/>
      <c r="G15" s="31"/>
      <c r="H15" s="4"/>
      <c r="I15" s="3" t="s">
        <v>28</v>
      </c>
      <c r="J15" s="6"/>
      <c r="K15" s="6"/>
      <c r="L15" s="20">
        <f>L14*0.3</f>
        <v>61.652424242424246</v>
      </c>
    </row>
    <row r="16" spans="1:14" ht="15" customHeight="1" x14ac:dyDescent="0.25">
      <c r="A16" s="139"/>
      <c r="B16" s="140"/>
      <c r="C16" s="141"/>
      <c r="D16" s="7"/>
      <c r="E16" s="30"/>
      <c r="F16" s="8"/>
      <c r="G16" s="31"/>
      <c r="H16" s="4"/>
      <c r="I16" s="3" t="s">
        <v>32</v>
      </c>
      <c r="J16" s="6"/>
      <c r="K16" s="6"/>
      <c r="L16" s="124">
        <f>L14*0.5</f>
        <v>102.75404040404041</v>
      </c>
    </row>
    <row r="17" spans="1:12" ht="15" customHeight="1" x14ac:dyDescent="0.25">
      <c r="A17" s="139"/>
      <c r="B17" s="140"/>
      <c r="C17" s="141"/>
      <c r="D17" s="7"/>
      <c r="E17" s="30"/>
      <c r="F17" s="8"/>
      <c r="G17" s="31"/>
      <c r="H17" s="4"/>
      <c r="I17" s="3" t="s">
        <v>33</v>
      </c>
      <c r="J17" s="6"/>
      <c r="K17" s="6"/>
      <c r="L17" s="20">
        <f>L14*1</f>
        <v>205.50808080808082</v>
      </c>
    </row>
    <row r="18" spans="1:12" ht="15" customHeight="1" x14ac:dyDescent="0.25">
      <c r="E18" s="10" t="s">
        <v>31</v>
      </c>
      <c r="F18" s="11"/>
      <c r="G18" s="31">
        <f>SUM(G6:G17)</f>
        <v>191.5</v>
      </c>
      <c r="H18" s="4"/>
    </row>
    <row r="19" spans="1:12" ht="15" customHeight="1" x14ac:dyDescent="0.25">
      <c r="E19" s="10" t="s">
        <v>47</v>
      </c>
      <c r="F19" s="11"/>
      <c r="G19" s="31" t="e">
        <f>(F19*E19)/D19</f>
        <v>#VALUE!</v>
      </c>
      <c r="H19" s="4"/>
      <c r="I19" s="76" t="s">
        <v>34</v>
      </c>
      <c r="J19" s="77"/>
      <c r="K19" s="78"/>
      <c r="L19" s="79">
        <f>L14+L15</f>
        <v>267.16050505050509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308.2621212121212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411.01616161616164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397.00808080808082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397.00808080808082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654A-5DCF-4387-98AC-67F6CC00E5FC}">
  <sheetPr>
    <tabColor rgb="FFFFB7DB"/>
  </sheetPr>
  <dimension ref="A1:N32"/>
  <sheetViews>
    <sheetView showGridLines="0" workbookViewId="0">
      <selection activeCell="B3" sqref="B3:D3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49</v>
      </c>
      <c r="C3" s="144"/>
      <c r="D3" s="145"/>
      <c r="E3" s="3" t="s">
        <v>3</v>
      </c>
      <c r="F3" s="112">
        <v>1</v>
      </c>
      <c r="G3" s="9"/>
      <c r="H3" s="3" t="s">
        <v>4</v>
      </c>
      <c r="I3" s="6"/>
      <c r="J3" s="9">
        <v>120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38</v>
      </c>
      <c r="B6" s="140"/>
      <c r="C6" s="141"/>
      <c r="D6" s="7">
        <v>1</v>
      </c>
      <c r="E6" s="30">
        <v>30</v>
      </c>
      <c r="F6" s="8">
        <v>1</v>
      </c>
      <c r="G6" s="31">
        <f>(F6*E6)/D6</f>
        <v>30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39</v>
      </c>
      <c r="B7" s="140"/>
      <c r="C7" s="141"/>
      <c r="D7" s="7">
        <v>1</v>
      </c>
      <c r="E7" s="30">
        <v>3</v>
      </c>
      <c r="F7" s="8">
        <v>1</v>
      </c>
      <c r="G7" s="31">
        <f t="shared" ref="G7:G12" si="0">(F7*E7)/D7</f>
        <v>3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41</v>
      </c>
      <c r="B8" s="140"/>
      <c r="C8" s="141"/>
      <c r="D8" s="7">
        <v>1</v>
      </c>
      <c r="E8" s="30">
        <v>40</v>
      </c>
      <c r="F8" s="8">
        <v>1</v>
      </c>
      <c r="G8" s="31">
        <f t="shared" si="0"/>
        <v>40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42</v>
      </c>
      <c r="B9" s="140"/>
      <c r="C9" s="141"/>
      <c r="D9" s="7">
        <v>1</v>
      </c>
      <c r="E9" s="30">
        <v>3.5</v>
      </c>
      <c r="F9" s="8">
        <v>10</v>
      </c>
      <c r="G9" s="31">
        <f t="shared" si="0"/>
        <v>35</v>
      </c>
      <c r="H9" s="4"/>
      <c r="J9" s="4"/>
      <c r="K9" s="5"/>
    </row>
    <row r="10" spans="1:14" ht="15" customHeight="1" x14ac:dyDescent="0.25">
      <c r="A10" s="139" t="s">
        <v>43</v>
      </c>
      <c r="B10" s="140"/>
      <c r="C10" s="141"/>
      <c r="D10" s="7">
        <v>1</v>
      </c>
      <c r="E10" s="30">
        <v>8</v>
      </c>
      <c r="F10" s="8">
        <v>6</v>
      </c>
      <c r="G10" s="31">
        <f t="shared" si="0"/>
        <v>48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44</v>
      </c>
      <c r="B11" s="140"/>
      <c r="C11" s="141"/>
      <c r="D11" s="7">
        <v>1</v>
      </c>
      <c r="E11" s="30">
        <v>18</v>
      </c>
      <c r="F11" s="8">
        <v>1</v>
      </c>
      <c r="G11" s="31">
        <f t="shared" si="0"/>
        <v>18</v>
      </c>
      <c r="H11" s="4"/>
      <c r="I11" s="21" t="s">
        <v>20</v>
      </c>
      <c r="J11" s="22"/>
      <c r="K11" s="22"/>
      <c r="L11" s="23">
        <f>K7*J3</f>
        <v>2.6444444444444444</v>
      </c>
    </row>
    <row r="12" spans="1:14" ht="15" customHeight="1" x14ac:dyDescent="0.25">
      <c r="A12" s="139" t="s">
        <v>45</v>
      </c>
      <c r="B12" s="140"/>
      <c r="C12" s="141"/>
      <c r="D12" s="7">
        <v>1000</v>
      </c>
      <c r="E12" s="30">
        <v>100</v>
      </c>
      <c r="F12" s="8">
        <v>3</v>
      </c>
      <c r="G12" s="31">
        <f t="shared" si="0"/>
        <v>0.3</v>
      </c>
      <c r="H12" s="4"/>
      <c r="I12" s="24" t="s">
        <v>22</v>
      </c>
      <c r="J12" s="4"/>
      <c r="K12" s="4"/>
      <c r="L12" s="25">
        <f>G18</f>
        <v>174.3</v>
      </c>
    </row>
    <row r="13" spans="1:14" ht="15" customHeight="1" x14ac:dyDescent="0.25">
      <c r="A13" s="139"/>
      <c r="B13" s="140"/>
      <c r="C13" s="141"/>
      <c r="D13" s="7"/>
      <c r="E13" s="30"/>
      <c r="F13" s="8"/>
      <c r="G13" s="31"/>
      <c r="H13" s="4"/>
      <c r="I13" s="26" t="s">
        <v>24</v>
      </c>
      <c r="J13" s="27"/>
      <c r="K13" s="27"/>
      <c r="L13" s="28">
        <f>K8*J3</f>
        <v>11.363636363636365</v>
      </c>
    </row>
    <row r="14" spans="1:14" ht="15" customHeight="1" x14ac:dyDescent="0.25">
      <c r="A14" s="139"/>
      <c r="B14" s="140"/>
      <c r="C14" s="141"/>
      <c r="D14" s="7"/>
      <c r="E14" s="30"/>
      <c r="F14" s="8"/>
      <c r="G14" s="31"/>
      <c r="H14" s="4"/>
      <c r="I14" s="73" t="s">
        <v>26</v>
      </c>
      <c r="J14" s="74"/>
      <c r="K14" s="74"/>
      <c r="L14" s="75">
        <f>SUM(L11:L13)</f>
        <v>188.30808080808083</v>
      </c>
    </row>
    <row r="15" spans="1:14" ht="15" customHeight="1" x14ac:dyDescent="0.25">
      <c r="A15" s="139"/>
      <c r="B15" s="140"/>
      <c r="C15" s="141"/>
      <c r="D15" s="7"/>
      <c r="E15" s="30"/>
      <c r="F15" s="8"/>
      <c r="G15" s="31"/>
      <c r="H15" s="4"/>
      <c r="I15" s="3" t="s">
        <v>28</v>
      </c>
      <c r="J15" s="6"/>
      <c r="K15" s="6"/>
      <c r="L15" s="20">
        <f>L14*0.3</f>
        <v>56.492424242424249</v>
      </c>
    </row>
    <row r="16" spans="1:14" ht="15" customHeight="1" x14ac:dyDescent="0.25">
      <c r="A16" s="139"/>
      <c r="B16" s="140"/>
      <c r="C16" s="141"/>
      <c r="D16" s="7"/>
      <c r="E16" s="30"/>
      <c r="F16" s="8"/>
      <c r="G16" s="31"/>
      <c r="H16" s="4"/>
      <c r="I16" s="3" t="s">
        <v>32</v>
      </c>
      <c r="J16" s="6"/>
      <c r="K16" s="6"/>
      <c r="L16" s="124">
        <f>L14*0.5</f>
        <v>94.154040404040416</v>
      </c>
    </row>
    <row r="17" spans="1:12" ht="15" customHeight="1" x14ac:dyDescent="0.25">
      <c r="A17" s="139"/>
      <c r="B17" s="140"/>
      <c r="C17" s="141"/>
      <c r="D17" s="7"/>
      <c r="E17" s="30"/>
      <c r="F17" s="8"/>
      <c r="G17" s="31"/>
      <c r="H17" s="4"/>
      <c r="I17" s="3" t="s">
        <v>33</v>
      </c>
      <c r="J17" s="6"/>
      <c r="K17" s="6"/>
      <c r="L17" s="20">
        <f>L14*1</f>
        <v>188.30808080808083</v>
      </c>
    </row>
    <row r="18" spans="1:12" ht="15" customHeight="1" x14ac:dyDescent="0.25">
      <c r="E18" s="10" t="s">
        <v>31</v>
      </c>
      <c r="F18" s="11"/>
      <c r="G18" s="31">
        <f>SUM(G6:G17)</f>
        <v>174.3</v>
      </c>
      <c r="H18" s="4"/>
    </row>
    <row r="19" spans="1:12" ht="15" customHeight="1" x14ac:dyDescent="0.25">
      <c r="E19" s="10" t="s">
        <v>47</v>
      </c>
      <c r="F19" s="11"/>
      <c r="G19" s="31" t="e">
        <f>(F19*E19)/D19</f>
        <v>#VALUE!</v>
      </c>
      <c r="H19" s="4"/>
      <c r="I19" s="76" t="s">
        <v>34</v>
      </c>
      <c r="J19" s="77"/>
      <c r="K19" s="78"/>
      <c r="L19" s="79">
        <f>L14+L15</f>
        <v>244.80050505050508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282.46212121212125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376.61616161616166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362.60808080808084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362.60808080808084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showGridLines="0" topLeftCell="E1" workbookViewId="0">
      <selection activeCell="E7" sqref="E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50</v>
      </c>
      <c r="C3" s="144"/>
      <c r="D3" s="145"/>
      <c r="E3" s="3" t="s">
        <v>3</v>
      </c>
      <c r="F3" s="6">
        <v>918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51</v>
      </c>
      <c r="B6" s="140"/>
      <c r="C6" s="141"/>
      <c r="D6" s="7">
        <v>900</v>
      </c>
      <c r="E6" s="30">
        <v>60</v>
      </c>
      <c r="F6" s="8">
        <v>190</v>
      </c>
      <c r="G6" s="31">
        <f>(F6*E6)/D6</f>
        <v>12.666666666666666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52</v>
      </c>
      <c r="B7" s="140"/>
      <c r="C7" s="141"/>
      <c r="D7" s="7">
        <v>1000</v>
      </c>
      <c r="E7" s="30">
        <v>17</v>
      </c>
      <c r="F7" s="8">
        <v>290</v>
      </c>
      <c r="G7" s="31">
        <f t="shared" ref="G7:G17" si="0">(F7*E7)/D7</f>
        <v>4.93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53</v>
      </c>
      <c r="B8" s="140"/>
      <c r="C8" s="141"/>
      <c r="D8" s="7">
        <v>150</v>
      </c>
      <c r="E8" s="8">
        <v>14</v>
      </c>
      <c r="F8" s="8">
        <v>8</v>
      </c>
      <c r="G8" s="31">
        <f t="shared" si="0"/>
        <v>0.7466666666666667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54</v>
      </c>
      <c r="B9" s="140"/>
      <c r="C9" s="141"/>
      <c r="D9" s="7">
        <v>50</v>
      </c>
      <c r="E9" s="8">
        <v>18</v>
      </c>
      <c r="F9" s="8">
        <v>5</v>
      </c>
      <c r="G9" s="31">
        <f t="shared" si="0"/>
        <v>1.8</v>
      </c>
      <c r="H9" s="4"/>
      <c r="J9" s="4"/>
      <c r="K9" s="5"/>
    </row>
    <row r="10" spans="1:14" ht="15" customHeight="1" x14ac:dyDescent="0.25">
      <c r="A10" s="139" t="s">
        <v>55</v>
      </c>
      <c r="B10" s="140"/>
      <c r="C10" s="141"/>
      <c r="D10" s="7">
        <v>250</v>
      </c>
      <c r="E10" s="8">
        <v>6</v>
      </c>
      <c r="F10" s="8">
        <v>30</v>
      </c>
      <c r="G10" s="31">
        <f t="shared" si="0"/>
        <v>0.72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56</v>
      </c>
      <c r="B11" s="140"/>
      <c r="C11" s="141"/>
      <c r="D11" s="7">
        <v>395</v>
      </c>
      <c r="E11" s="8">
        <v>9</v>
      </c>
      <c r="F11" s="8">
        <v>395</v>
      </c>
      <c r="G11" s="31">
        <f t="shared" si="0"/>
        <v>9</v>
      </c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>
        <v>1</v>
      </c>
      <c r="E12" s="8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29.86333333333333</v>
      </c>
    </row>
    <row r="13" spans="1:14" ht="15" customHeight="1" x14ac:dyDescent="0.25">
      <c r="A13" s="139"/>
      <c r="B13" s="140"/>
      <c r="C13" s="141"/>
      <c r="D13" s="7">
        <v>1</v>
      </c>
      <c r="E13" s="8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31.614343434343432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28</v>
      </c>
      <c r="J15" s="6"/>
      <c r="K15" s="6"/>
      <c r="L15" s="20">
        <f>L14*0.3</f>
        <v>9.48430303030303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41.098646464646464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SUM(G6:G17)</f>
        <v>29.86333333333333</v>
      </c>
      <c r="H18" s="4"/>
    </row>
    <row r="19" spans="1:12" ht="15" customHeight="1" x14ac:dyDescent="0.25">
      <c r="F19" s="2" t="s">
        <v>57</v>
      </c>
      <c r="G19" s="115">
        <f>G18/918</f>
        <v>3.2530864197530859E-2</v>
      </c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B3C9-410E-47F5-8FED-D57CD1CE531A}">
  <dimension ref="A1:N32"/>
  <sheetViews>
    <sheetView showGridLines="0" workbookViewId="0">
      <selection activeCell="L16" sqref="L16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291</v>
      </c>
      <c r="C3" s="144"/>
      <c r="D3" s="145"/>
      <c r="E3" s="3" t="s">
        <v>3</v>
      </c>
      <c r="F3" s="6">
        <v>1000</v>
      </c>
      <c r="G3" s="9"/>
      <c r="H3" s="3" t="s">
        <v>4</v>
      </c>
      <c r="I3" s="6"/>
      <c r="J3" s="9">
        <v>30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292</v>
      </c>
      <c r="B6" s="140"/>
      <c r="C6" s="141"/>
      <c r="D6" s="7">
        <v>5000</v>
      </c>
      <c r="E6" s="30">
        <v>30</v>
      </c>
      <c r="F6" s="8">
        <v>240</v>
      </c>
      <c r="G6" s="31">
        <f>(F6*E6)/D6</f>
        <v>1.44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</v>
      </c>
      <c r="B7" s="140"/>
      <c r="C7" s="141"/>
      <c r="D7" s="7">
        <v>1000</v>
      </c>
      <c r="E7" s="30">
        <v>4</v>
      </c>
      <c r="F7" s="8">
        <v>100</v>
      </c>
      <c r="G7" s="31">
        <f t="shared" ref="G7:G17" si="0">(F7*E7)/D7</f>
        <v>0.4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81</v>
      </c>
      <c r="B8" s="140"/>
      <c r="C8" s="141"/>
      <c r="D8" s="7">
        <v>1000</v>
      </c>
      <c r="E8" s="8">
        <v>6</v>
      </c>
      <c r="F8" s="8">
        <v>800</v>
      </c>
      <c r="G8" s="31">
        <f t="shared" si="0"/>
        <v>4.8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293</v>
      </c>
      <c r="B9" s="140"/>
      <c r="C9" s="141"/>
      <c r="D9" s="7">
        <v>8</v>
      </c>
      <c r="E9" s="8">
        <v>5</v>
      </c>
      <c r="F9" s="8">
        <v>1</v>
      </c>
      <c r="G9" s="31">
        <f t="shared" si="0"/>
        <v>0.625</v>
      </c>
      <c r="H9" s="4"/>
      <c r="J9" s="4"/>
      <c r="K9" s="5"/>
    </row>
    <row r="10" spans="1:14" ht="15" customHeight="1" x14ac:dyDescent="0.25">
      <c r="A10" s="139" t="s">
        <v>202</v>
      </c>
      <c r="B10" s="140"/>
      <c r="C10" s="141"/>
      <c r="D10" s="7">
        <v>10</v>
      </c>
      <c r="E10" s="8">
        <v>3.3</v>
      </c>
      <c r="F10" s="8">
        <v>2</v>
      </c>
      <c r="G10" s="31">
        <f t="shared" si="0"/>
        <v>0.65999999999999992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0.66111111111111109</v>
      </c>
    </row>
    <row r="12" spans="1:14" ht="15" customHeight="1" x14ac:dyDescent="0.25">
      <c r="A12" s="139"/>
      <c r="B12" s="140"/>
      <c r="C12" s="141"/>
      <c r="D12" s="7">
        <v>1</v>
      </c>
      <c r="E12" s="8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7.9249999999999998</v>
      </c>
    </row>
    <row r="13" spans="1:14" ht="15" customHeight="1" x14ac:dyDescent="0.25">
      <c r="A13" s="139"/>
      <c r="B13" s="140"/>
      <c r="C13" s="141"/>
      <c r="D13" s="7">
        <v>1</v>
      </c>
      <c r="E13" s="8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2.8409090909090913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11.427020202020202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28</v>
      </c>
      <c r="J15" s="6"/>
      <c r="K15" s="6"/>
      <c r="L15" s="20">
        <f>L14*1</f>
        <v>11.427020202020202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22.854040404040404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SUM(G6:G17)</f>
        <v>7.9249999999999998</v>
      </c>
      <c r="H18" s="4"/>
    </row>
    <row r="19" spans="1:12" ht="15" customHeight="1" x14ac:dyDescent="0.25">
      <c r="F19" s="2" t="s">
        <v>57</v>
      </c>
      <c r="G19" s="115">
        <f>G18/918</f>
        <v>8.6328976034858382E-3</v>
      </c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showGridLines="0" workbookViewId="0">
      <selection activeCell="K8" sqref="K8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58</v>
      </c>
      <c r="C3" s="144"/>
      <c r="D3" s="145"/>
      <c r="E3" s="3" t="s">
        <v>3</v>
      </c>
      <c r="F3" s="6" t="s">
        <v>59</v>
      </c>
      <c r="G3" s="9"/>
      <c r="H3" s="3" t="s">
        <v>4</v>
      </c>
      <c r="I3" s="6"/>
      <c r="J3" s="9">
        <v>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55</v>
      </c>
      <c r="F6" s="8">
        <v>100</v>
      </c>
      <c r="G6" s="31">
        <f>(F6*E6)/D6</f>
        <v>2.6829268292682928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61</v>
      </c>
      <c r="B7" s="140"/>
      <c r="C7" s="141"/>
      <c r="D7" s="7">
        <v>250</v>
      </c>
      <c r="E7" s="30">
        <v>6</v>
      </c>
      <c r="F7" s="8">
        <v>25</v>
      </c>
      <c r="G7" s="31">
        <f t="shared" ref="G7:G17" si="0">(F7*E7)/D7</f>
        <v>0.6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/>
      <c r="B8" s="140"/>
      <c r="C8" s="141"/>
      <c r="D8" s="7"/>
      <c r="E8" s="8"/>
      <c r="F8" s="8"/>
      <c r="G8" s="31" t="e">
        <f t="shared" si="0"/>
        <v>#DIV/0!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 t="e">
        <f t="shared" si="0"/>
        <v>#DIV/0!</v>
      </c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 t="e">
        <f t="shared" si="0"/>
        <v>#DIV/0!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 t="e">
        <f t="shared" si="0"/>
        <v>#DIV/0!</v>
      </c>
      <c r="H11" s="4"/>
      <c r="I11" s="21" t="s">
        <v>20</v>
      </c>
      <c r="J11" s="22"/>
      <c r="K11" s="22"/>
      <c r="L11" s="23">
        <f>K7*J3</f>
        <v>0.11018518518518518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 t="e">
        <f t="shared" si="0"/>
        <v>#DIV/0!</v>
      </c>
      <c r="H12" s="4"/>
      <c r="I12" s="24" t="s">
        <v>22</v>
      </c>
      <c r="J12" s="4"/>
      <c r="K12" s="4"/>
      <c r="L12" s="25">
        <f>G18</f>
        <v>3.2829268292682929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 t="e">
        <f t="shared" si="0"/>
        <v>#DIV/0!</v>
      </c>
      <c r="H13" s="4"/>
      <c r="I13" s="26" t="s">
        <v>24</v>
      </c>
      <c r="J13" s="27"/>
      <c r="K13" s="27"/>
      <c r="L13" s="28">
        <f>K8*J3</f>
        <v>0.47348484848484856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 t="e">
        <f t="shared" si="0"/>
        <v>#DIV/0!</v>
      </c>
      <c r="H14" s="4"/>
      <c r="I14" s="73" t="s">
        <v>26</v>
      </c>
      <c r="J14" s="74"/>
      <c r="K14" s="74"/>
      <c r="L14" s="75">
        <f>SUM(L11:L13)</f>
        <v>3.8665968629383269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 t="e">
        <f t="shared" si="0"/>
        <v>#DIV/0!</v>
      </c>
      <c r="H15" s="4"/>
      <c r="I15" s="3" t="s">
        <v>28</v>
      </c>
      <c r="J15" s="6"/>
      <c r="K15" s="6"/>
      <c r="L15" s="20">
        <f>L14*0.3</f>
        <v>1.159979058881498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5.0265759218198252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SUM(G6:G7)</f>
        <v>3.2829268292682929</v>
      </c>
      <c r="H18" s="4"/>
    </row>
    <row r="19" spans="1:12" ht="15" customHeight="1" x14ac:dyDescent="0.25">
      <c r="F19" s="2" t="s">
        <v>57</v>
      </c>
      <c r="G19" s="115">
        <f>G18/125</f>
        <v>2.6263414634146342E-2</v>
      </c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N32"/>
  <sheetViews>
    <sheetView showGridLines="0" workbookViewId="0">
      <selection activeCell="E7" sqref="E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62</v>
      </c>
      <c r="C3" s="144"/>
      <c r="D3" s="145"/>
      <c r="E3" s="3" t="s">
        <v>3</v>
      </c>
      <c r="F3" s="112">
        <v>840</v>
      </c>
      <c r="G3" s="9"/>
      <c r="H3" s="3" t="s">
        <v>4</v>
      </c>
      <c r="I3" s="6"/>
      <c r="J3" s="9">
        <v>30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14</v>
      </c>
      <c r="B6" s="140"/>
      <c r="C6" s="141"/>
      <c r="D6" s="7">
        <v>5000</v>
      </c>
      <c r="E6" s="8">
        <v>20</v>
      </c>
      <c r="F6" s="8">
        <v>260</v>
      </c>
      <c r="G6" s="31">
        <f>(F6*E6)/D6</f>
        <v>1.04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</v>
      </c>
      <c r="B7" s="140"/>
      <c r="C7" s="141"/>
      <c r="D7" s="7">
        <v>3000</v>
      </c>
      <c r="E7" s="8">
        <v>45</v>
      </c>
      <c r="F7" s="8">
        <v>150</v>
      </c>
      <c r="G7" s="31">
        <f t="shared" ref="G7:G17" si="0">(F7*E7)/D7</f>
        <v>2.25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17</v>
      </c>
      <c r="B8" s="140"/>
      <c r="C8" s="141"/>
      <c r="D8" s="7">
        <v>250</v>
      </c>
      <c r="E8" s="8">
        <v>9</v>
      </c>
      <c r="F8" s="8">
        <v>8</v>
      </c>
      <c r="G8" s="31">
        <f t="shared" si="0"/>
        <v>0.28799999999999998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63</v>
      </c>
      <c r="B9" s="140"/>
      <c r="C9" s="141"/>
      <c r="D9" s="7">
        <v>1000</v>
      </c>
      <c r="E9" s="8">
        <v>30</v>
      </c>
      <c r="F9" s="8">
        <v>45</v>
      </c>
      <c r="G9" s="31">
        <f t="shared" si="0"/>
        <v>1.35</v>
      </c>
      <c r="H9" s="4"/>
      <c r="J9" s="4"/>
      <c r="K9" s="5"/>
    </row>
    <row r="10" spans="1:14" ht="15" customHeight="1" x14ac:dyDescent="0.25">
      <c r="A10" s="139" t="s">
        <v>12</v>
      </c>
      <c r="B10" s="140"/>
      <c r="C10" s="141"/>
      <c r="D10" s="7">
        <v>1000</v>
      </c>
      <c r="E10" s="8">
        <v>4.5</v>
      </c>
      <c r="F10" s="8">
        <v>270</v>
      </c>
      <c r="G10" s="31">
        <f t="shared" si="0"/>
        <v>1.2150000000000001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19</v>
      </c>
      <c r="B11" s="140"/>
      <c r="C11" s="141"/>
      <c r="D11" s="7">
        <v>1000</v>
      </c>
      <c r="E11" s="8">
        <v>2</v>
      </c>
      <c r="F11" s="8">
        <v>180</v>
      </c>
      <c r="G11" s="31">
        <f t="shared" si="0"/>
        <v>0.36</v>
      </c>
      <c r="H11" s="4"/>
      <c r="I11" s="21" t="s">
        <v>20</v>
      </c>
      <c r="J11" s="22"/>
      <c r="K11" s="22"/>
      <c r="L11" s="23">
        <f>K7*J3</f>
        <v>0.66111111111111109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6.5030000000000001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2.8409090909090913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10.005020202020203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3.0015060606060611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3" t="s">
        <v>32</v>
      </c>
      <c r="J16" s="6"/>
      <c r="K16" s="6"/>
      <c r="L16" s="124">
        <f>L14*0.5</f>
        <v>5.0025101010101016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10.005020202020203</v>
      </c>
    </row>
    <row r="18" spans="1:12" ht="15" customHeight="1" x14ac:dyDescent="0.25">
      <c r="E18" s="10" t="s">
        <v>31</v>
      </c>
      <c r="F18" s="11"/>
      <c r="G18" s="12">
        <f>SUM(G6:G17)</f>
        <v>6.5030000000000001</v>
      </c>
      <c r="H18" s="4"/>
    </row>
    <row r="19" spans="1:12" ht="15" customHeight="1" x14ac:dyDescent="0.25">
      <c r="E19" s="10" t="s">
        <v>47</v>
      </c>
      <c r="F19" s="11"/>
      <c r="G19" s="12">
        <f>G18/F3</f>
        <v>7.7416666666666667E-3</v>
      </c>
      <c r="H19" s="4"/>
      <c r="I19" s="76" t="s">
        <v>34</v>
      </c>
      <c r="J19" s="77"/>
      <c r="K19" s="78"/>
      <c r="L19" s="79">
        <f>L14+L15</f>
        <v>13.006526262626265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15.007530303030304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20.010040404040407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G18+'massa de bolo meia receita'!L1</f>
        <v>6.5030000000000001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7.7416666666666667E-3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E808-44F4-49F2-A3D8-F44CC1091B72}">
  <sheetPr>
    <tabColor rgb="FF92D050"/>
  </sheetPr>
  <dimension ref="A1:N32"/>
  <sheetViews>
    <sheetView showGridLines="0" workbookViewId="0">
      <selection activeCell="A12" sqref="A12:C12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297</v>
      </c>
      <c r="C3" s="144"/>
      <c r="D3" s="145"/>
      <c r="E3" s="3" t="s">
        <v>3</v>
      </c>
      <c r="F3" s="112">
        <v>900</v>
      </c>
      <c r="G3" s="9" t="s">
        <v>306</v>
      </c>
      <c r="H3" s="3" t="s">
        <v>4</v>
      </c>
      <c r="I3" s="6"/>
      <c r="J3" s="9">
        <v>180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14</v>
      </c>
      <c r="B6" s="140"/>
      <c r="C6" s="141"/>
      <c r="D6" s="7">
        <v>5000</v>
      </c>
      <c r="E6" s="8">
        <v>20</v>
      </c>
      <c r="F6" s="8">
        <v>500</v>
      </c>
      <c r="G6" s="31">
        <f>(F6*E6)/D6</f>
        <v>2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</v>
      </c>
      <c r="B7" s="140"/>
      <c r="C7" s="141"/>
      <c r="D7" s="7">
        <v>3000</v>
      </c>
      <c r="E7" s="8">
        <v>45</v>
      </c>
      <c r="F7" s="8">
        <v>100</v>
      </c>
      <c r="G7" s="31">
        <f t="shared" ref="G7:G17" si="0">(F7*E7)/D7</f>
        <v>1.5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298</v>
      </c>
      <c r="B8" s="140"/>
      <c r="C8" s="141"/>
      <c r="D8" s="7">
        <v>200</v>
      </c>
      <c r="E8" s="8">
        <v>10</v>
      </c>
      <c r="F8" s="8">
        <v>200</v>
      </c>
      <c r="G8" s="31">
        <f t="shared" si="0"/>
        <v>10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193</v>
      </c>
      <c r="B9" s="140"/>
      <c r="C9" s="141"/>
      <c r="D9" s="7">
        <v>30</v>
      </c>
      <c r="E9" s="8">
        <v>3.19</v>
      </c>
      <c r="F9" s="8">
        <v>5</v>
      </c>
      <c r="G9" s="31">
        <f t="shared" si="0"/>
        <v>0.53166666666666662</v>
      </c>
      <c r="H9" s="4"/>
      <c r="J9" s="4"/>
      <c r="K9" s="5"/>
    </row>
    <row r="10" spans="1:14" ht="15" customHeight="1" x14ac:dyDescent="0.25">
      <c r="A10" s="139" t="s">
        <v>12</v>
      </c>
      <c r="B10" s="140"/>
      <c r="C10" s="141"/>
      <c r="D10" s="7">
        <v>1000</v>
      </c>
      <c r="E10" s="8">
        <v>4.5</v>
      </c>
      <c r="F10" s="8">
        <v>180</v>
      </c>
      <c r="G10" s="31">
        <f t="shared" si="0"/>
        <v>0.81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3.9666666666666663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14.841666666666667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17.045454545454547</v>
      </c>
    </row>
    <row r="14" spans="1:14" ht="15" customHeight="1" x14ac:dyDescent="0.25">
      <c r="A14" s="139"/>
      <c r="B14" s="140"/>
      <c r="C14" s="141"/>
      <c r="D14" s="7">
        <v>100</v>
      </c>
      <c r="E14" s="8">
        <v>32</v>
      </c>
      <c r="F14" s="8">
        <v>40</v>
      </c>
      <c r="G14" s="31"/>
      <c r="H14" s="4"/>
      <c r="I14" s="73" t="s">
        <v>26</v>
      </c>
      <c r="J14" s="74"/>
      <c r="K14" s="74"/>
      <c r="L14" s="75">
        <f>SUM(L11:L13)</f>
        <v>35.853787878787884</v>
      </c>
    </row>
    <row r="15" spans="1:14" ht="15" customHeight="1" x14ac:dyDescent="0.25">
      <c r="A15" s="139"/>
      <c r="B15" s="140"/>
      <c r="C15" s="141"/>
      <c r="D15" s="7">
        <v>10</v>
      </c>
      <c r="E15" s="8">
        <v>12</v>
      </c>
      <c r="F15" s="8">
        <v>2</v>
      </c>
      <c r="G15" s="31"/>
      <c r="H15" s="4"/>
      <c r="I15" s="3" t="s">
        <v>28</v>
      </c>
      <c r="J15" s="6"/>
      <c r="K15" s="6"/>
      <c r="L15" s="20">
        <f>L14*0.3</f>
        <v>10.756136363636365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3" t="s">
        <v>32</v>
      </c>
      <c r="J16" s="6"/>
      <c r="K16" s="6"/>
      <c r="L16" s="124">
        <f>L14*0.5</f>
        <v>17.926893939393942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35.853787878787884</v>
      </c>
    </row>
    <row r="18" spans="1:12" ht="15" customHeight="1" x14ac:dyDescent="0.25">
      <c r="E18" s="10" t="s">
        <v>31</v>
      </c>
      <c r="F18" s="11"/>
      <c r="G18" s="12">
        <f>SUM(G6:G17)</f>
        <v>14.841666666666667</v>
      </c>
      <c r="H18" s="4"/>
    </row>
    <row r="19" spans="1:12" ht="15" customHeight="1" x14ac:dyDescent="0.25">
      <c r="E19" s="10" t="s">
        <v>47</v>
      </c>
      <c r="F19" s="11"/>
      <c r="G19" s="12">
        <f>G18/F3</f>
        <v>1.649074074074074E-2</v>
      </c>
      <c r="H19" s="4"/>
      <c r="I19" s="76" t="s">
        <v>34</v>
      </c>
      <c r="J19" s="77"/>
      <c r="K19" s="78"/>
      <c r="L19" s="79">
        <f>L14+L15</f>
        <v>46.609924242424249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53.780681818181826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71.707575757575768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G18+'Biscoitos decorados (2)'!L1</f>
        <v>14.841666666666667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1.649074074074074E-2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32"/>
  <sheetViews>
    <sheetView showGridLines="0" workbookViewId="0">
      <selection activeCell="G24" sqref="G24"/>
    </sheetView>
  </sheetViews>
  <sheetFormatPr defaultColWidth="12.7109375" defaultRowHeight="15" customHeight="1" x14ac:dyDescent="0.25"/>
  <cols>
    <col min="1" max="3" width="12.7109375" style="2"/>
    <col min="4" max="6" width="15.7109375" style="2" customWidth="1"/>
    <col min="7" max="7" width="16.855468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64</v>
      </c>
      <c r="C3" s="144"/>
      <c r="D3" s="145"/>
      <c r="E3" s="3" t="s">
        <v>3</v>
      </c>
      <c r="F3" s="112" t="s">
        <v>65</v>
      </c>
      <c r="G3" s="9"/>
      <c r="H3" s="3" t="s">
        <v>4</v>
      </c>
      <c r="I3" s="6"/>
      <c r="J3" s="9">
        <v>200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56</v>
      </c>
      <c r="B6" s="140"/>
      <c r="C6" s="141"/>
      <c r="D6" s="7">
        <v>395</v>
      </c>
      <c r="E6" s="30">
        <v>7</v>
      </c>
      <c r="F6" s="8">
        <v>50</v>
      </c>
      <c r="G6" s="31">
        <f>(F6*E6)/D6</f>
        <v>0.88607594936708856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66</v>
      </c>
      <c r="B7" s="140"/>
      <c r="C7" s="141"/>
      <c r="D7" s="7">
        <v>200</v>
      </c>
      <c r="E7" s="30">
        <v>3.5</v>
      </c>
      <c r="F7" s="8">
        <v>200</v>
      </c>
      <c r="G7" s="31"/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63</v>
      </c>
      <c r="B8" s="140"/>
      <c r="C8" s="141"/>
      <c r="D8" s="7">
        <v>1000</v>
      </c>
      <c r="E8" s="30">
        <v>32</v>
      </c>
      <c r="F8" s="8">
        <v>20</v>
      </c>
      <c r="G8" s="31">
        <f t="shared" ref="G8" si="0">(F8*E8)/D8</f>
        <v>0.64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67</v>
      </c>
      <c r="B9" s="140"/>
      <c r="C9" s="141"/>
      <c r="D9" s="7">
        <v>1000</v>
      </c>
      <c r="E9" s="30">
        <v>15</v>
      </c>
      <c r="F9" s="8">
        <v>15</v>
      </c>
      <c r="G9" s="31"/>
      <c r="H9" s="4"/>
      <c r="J9" s="4"/>
      <c r="K9" s="5"/>
    </row>
    <row r="10" spans="1:14" ht="15" customHeight="1" x14ac:dyDescent="0.25">
      <c r="A10" s="139" t="s">
        <v>68</v>
      </c>
      <c r="B10" s="140"/>
      <c r="C10" s="141"/>
      <c r="D10" s="7">
        <v>500</v>
      </c>
      <c r="E10" s="30">
        <v>15</v>
      </c>
      <c r="F10" s="8">
        <v>300</v>
      </c>
      <c r="G10" s="31">
        <f t="shared" ref="G10:G19" si="1">(F10*E10)/D10</f>
        <v>9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69</v>
      </c>
      <c r="B11" s="140"/>
      <c r="C11" s="141"/>
      <c r="D11" s="7">
        <v>800</v>
      </c>
      <c r="E11" s="30">
        <v>10</v>
      </c>
      <c r="F11" s="8">
        <v>400</v>
      </c>
      <c r="G11" s="31">
        <f t="shared" si="1"/>
        <v>5</v>
      </c>
      <c r="H11" s="4"/>
      <c r="I11" s="21" t="s">
        <v>20</v>
      </c>
      <c r="J11" s="22"/>
      <c r="K11" s="22"/>
      <c r="L11" s="23">
        <f>K7*J3</f>
        <v>4.4074074074074074</v>
      </c>
    </row>
    <row r="12" spans="1:14" ht="15" customHeight="1" x14ac:dyDescent="0.25">
      <c r="A12" s="139" t="s">
        <v>70</v>
      </c>
      <c r="B12" s="140"/>
      <c r="C12" s="141"/>
      <c r="D12" s="7">
        <v>2050</v>
      </c>
      <c r="E12" s="30">
        <v>130</v>
      </c>
      <c r="F12" s="8">
        <v>400</v>
      </c>
      <c r="G12" s="31">
        <f t="shared" si="1"/>
        <v>25.365853658536587</v>
      </c>
      <c r="H12" s="4"/>
      <c r="I12" s="24" t="s">
        <v>22</v>
      </c>
      <c r="J12" s="4"/>
      <c r="K12" s="4"/>
      <c r="L12" s="25">
        <f>G18</f>
        <v>65.641929607903677</v>
      </c>
    </row>
    <row r="13" spans="1:14" ht="15" customHeight="1" x14ac:dyDescent="0.25">
      <c r="A13" s="139" t="s">
        <v>66</v>
      </c>
      <c r="B13" s="140"/>
      <c r="C13" s="141"/>
      <c r="D13" s="7">
        <v>200</v>
      </c>
      <c r="E13" s="30">
        <v>4</v>
      </c>
      <c r="F13" s="8">
        <v>300</v>
      </c>
      <c r="G13" s="31">
        <f t="shared" si="1"/>
        <v>6</v>
      </c>
      <c r="H13" s="4"/>
      <c r="I13" s="26" t="s">
        <v>24</v>
      </c>
      <c r="J13" s="27"/>
      <c r="K13" s="27"/>
      <c r="L13" s="28">
        <f>K8*J3</f>
        <v>18.939393939393941</v>
      </c>
    </row>
    <row r="14" spans="1:14" ht="15" customHeight="1" x14ac:dyDescent="0.25">
      <c r="A14" s="139"/>
      <c r="B14" s="140"/>
      <c r="C14" s="141"/>
      <c r="D14" s="7"/>
      <c r="E14" s="30"/>
      <c r="F14" s="8"/>
      <c r="G14" s="31"/>
      <c r="H14" s="4"/>
      <c r="I14" s="73" t="s">
        <v>26</v>
      </c>
      <c r="J14" s="74"/>
      <c r="K14" s="74"/>
      <c r="L14" s="75">
        <f>SUM(L11:L13)</f>
        <v>88.988730954705019</v>
      </c>
    </row>
    <row r="15" spans="1:14" ht="15" customHeight="1" x14ac:dyDescent="0.25">
      <c r="A15" s="139" t="s">
        <v>71</v>
      </c>
      <c r="B15" s="140"/>
      <c r="C15" s="141"/>
      <c r="D15" s="7">
        <v>1000</v>
      </c>
      <c r="E15" s="30">
        <v>15</v>
      </c>
      <c r="F15" s="8">
        <v>250</v>
      </c>
      <c r="G15" s="31">
        <f t="shared" si="1"/>
        <v>3.75</v>
      </c>
      <c r="H15" s="4"/>
      <c r="I15" s="3" t="s">
        <v>28</v>
      </c>
      <c r="J15" s="6"/>
      <c r="K15" s="6"/>
      <c r="L15" s="20">
        <f>L14*0.3</f>
        <v>26.696619286411504</v>
      </c>
    </row>
    <row r="16" spans="1:14" ht="15" customHeight="1" x14ac:dyDescent="0.25">
      <c r="A16" s="139" t="s">
        <v>72</v>
      </c>
      <c r="B16" s="140"/>
      <c r="C16" s="141"/>
      <c r="D16" s="7">
        <v>1</v>
      </c>
      <c r="E16" s="30">
        <v>15</v>
      </c>
      <c r="F16" s="8">
        <v>1</v>
      </c>
      <c r="G16" s="31">
        <f t="shared" si="1"/>
        <v>15</v>
      </c>
      <c r="H16" s="4"/>
      <c r="I16" s="3" t="s">
        <v>32</v>
      </c>
      <c r="J16" s="6"/>
      <c r="K16" s="6"/>
      <c r="L16" s="124">
        <f>L14*0.5</f>
        <v>44.49436547735251</v>
      </c>
    </row>
    <row r="17" spans="1:12" ht="15" customHeight="1" x14ac:dyDescent="0.25">
      <c r="A17" s="139"/>
      <c r="B17" s="140"/>
      <c r="C17" s="141"/>
      <c r="D17" s="7"/>
      <c r="E17" s="30"/>
      <c r="F17" s="8"/>
      <c r="G17" s="31"/>
      <c r="H17" s="4"/>
      <c r="I17" s="3" t="s">
        <v>33</v>
      </c>
      <c r="J17" s="6"/>
      <c r="K17" s="6"/>
      <c r="L17" s="20">
        <f>L14*1</f>
        <v>88.988730954705019</v>
      </c>
    </row>
    <row r="18" spans="1:12" ht="15" customHeight="1" x14ac:dyDescent="0.25">
      <c r="E18" s="10" t="s">
        <v>31</v>
      </c>
      <c r="F18" s="11"/>
      <c r="G18" s="31">
        <f>SUM(G6:G17)</f>
        <v>65.641929607903677</v>
      </c>
      <c r="H18" s="4"/>
    </row>
    <row r="19" spans="1:12" ht="15" customHeight="1" x14ac:dyDescent="0.25">
      <c r="E19" s="10" t="s">
        <v>47</v>
      </c>
      <c r="F19" s="11"/>
      <c r="G19" s="31" t="e">
        <f t="shared" si="1"/>
        <v>#VALUE!</v>
      </c>
      <c r="H19" s="4"/>
      <c r="I19" s="76" t="s">
        <v>34</v>
      </c>
      <c r="J19" s="77"/>
      <c r="K19" s="78"/>
      <c r="L19" s="79">
        <f>L14+L15</f>
        <v>115.68535024111652</v>
      </c>
    </row>
    <row r="20" spans="1:12" ht="15" customHeight="1" x14ac:dyDescent="0.25">
      <c r="G20" s="115"/>
      <c r="H20" s="4"/>
      <c r="I20" s="116" t="s">
        <v>35</v>
      </c>
      <c r="J20" s="117"/>
      <c r="K20" s="118"/>
      <c r="L20" s="119">
        <f>L14+L16</f>
        <v>133.48309643205752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177.97746190941004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154.63066056260868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 t="e">
        <f>L31/F3</f>
        <v>#VALUE!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32"/>
  <sheetViews>
    <sheetView showGridLines="0" workbookViewId="0">
      <selection activeCell="J4" sqref="J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73</v>
      </c>
      <c r="C3" s="144"/>
      <c r="D3" s="145"/>
      <c r="E3" s="3" t="s">
        <v>3</v>
      </c>
      <c r="F3" s="112">
        <v>500</v>
      </c>
      <c r="G3" s="9"/>
      <c r="H3" s="3" t="s">
        <v>4</v>
      </c>
      <c r="I3" s="6"/>
      <c r="J3" s="9">
        <v>60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74</v>
      </c>
      <c r="B6" s="140"/>
      <c r="C6" s="141"/>
      <c r="D6" s="7">
        <v>840</v>
      </c>
      <c r="E6" s="30">
        <v>9</v>
      </c>
      <c r="F6" s="8">
        <v>190</v>
      </c>
      <c r="G6" s="31">
        <f>(F6*E6)/D6</f>
        <v>2.0357142857142856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75</v>
      </c>
      <c r="B7" s="140"/>
      <c r="C7" s="141"/>
      <c r="D7" s="7">
        <v>500</v>
      </c>
      <c r="E7" s="30">
        <v>17</v>
      </c>
      <c r="F7" s="8">
        <v>200</v>
      </c>
      <c r="G7" s="31">
        <f t="shared" ref="G7:G13" si="0">(F7*E7)/D7</f>
        <v>6.8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76</v>
      </c>
      <c r="B8" s="140"/>
      <c r="C8" s="141"/>
      <c r="D8" s="7">
        <v>500</v>
      </c>
      <c r="E8" s="30">
        <v>15</v>
      </c>
      <c r="F8" s="8">
        <v>70</v>
      </c>
      <c r="G8" s="31">
        <f t="shared" si="0"/>
        <v>2.1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71</v>
      </c>
      <c r="B9" s="140"/>
      <c r="C9" s="141"/>
      <c r="D9" s="7">
        <v>200</v>
      </c>
      <c r="E9" s="30">
        <v>5</v>
      </c>
      <c r="F9" s="8">
        <v>50</v>
      </c>
      <c r="G9" s="31">
        <f t="shared" si="0"/>
        <v>1.25</v>
      </c>
      <c r="H9" s="4"/>
      <c r="J9" s="4"/>
      <c r="K9" s="5"/>
    </row>
    <row r="10" spans="1:14" ht="15" customHeight="1" x14ac:dyDescent="0.25">
      <c r="A10" s="139" t="s">
        <v>77</v>
      </c>
      <c r="B10" s="140"/>
      <c r="C10" s="141"/>
      <c r="D10" s="7">
        <v>10</v>
      </c>
      <c r="E10" s="30">
        <v>8</v>
      </c>
      <c r="F10" s="8">
        <v>1</v>
      </c>
      <c r="G10" s="31">
        <f t="shared" si="0"/>
        <v>0.8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78</v>
      </c>
      <c r="B11" s="140"/>
      <c r="C11" s="141"/>
      <c r="D11" s="7">
        <v>4000</v>
      </c>
      <c r="E11" s="30">
        <v>7</v>
      </c>
      <c r="F11" s="8">
        <v>300</v>
      </c>
      <c r="G11" s="31">
        <f t="shared" si="0"/>
        <v>0.52500000000000002</v>
      </c>
      <c r="H11" s="4"/>
      <c r="I11" s="21" t="s">
        <v>20</v>
      </c>
      <c r="J11" s="22"/>
      <c r="K11" s="22"/>
      <c r="L11" s="23">
        <f>K7*J3</f>
        <v>1.3222222222222222</v>
      </c>
    </row>
    <row r="12" spans="1:14" ht="15" customHeight="1" x14ac:dyDescent="0.25">
      <c r="A12" s="139" t="s">
        <v>79</v>
      </c>
      <c r="B12" s="140"/>
      <c r="C12" s="141"/>
      <c r="D12" s="7">
        <v>10000</v>
      </c>
      <c r="E12" s="30">
        <v>5</v>
      </c>
      <c r="F12" s="8">
        <v>500</v>
      </c>
      <c r="G12" s="31">
        <f t="shared" si="0"/>
        <v>0.25</v>
      </c>
      <c r="H12" s="4"/>
      <c r="I12" s="24" t="s">
        <v>22</v>
      </c>
      <c r="J12" s="4"/>
      <c r="K12" s="4"/>
      <c r="L12" s="25">
        <f>G18</f>
        <v>17.760714285714286</v>
      </c>
    </row>
    <row r="13" spans="1:14" ht="15" customHeight="1" x14ac:dyDescent="0.25">
      <c r="A13" s="139" t="s">
        <v>27</v>
      </c>
      <c r="B13" s="140"/>
      <c r="C13" s="141"/>
      <c r="D13" s="7">
        <v>5</v>
      </c>
      <c r="E13" s="30">
        <v>20</v>
      </c>
      <c r="F13" s="8">
        <v>1</v>
      </c>
      <c r="G13" s="31">
        <f t="shared" si="0"/>
        <v>4</v>
      </c>
      <c r="H13" s="4"/>
      <c r="I13" s="26" t="s">
        <v>24</v>
      </c>
      <c r="J13" s="27"/>
      <c r="K13" s="27"/>
      <c r="L13" s="28">
        <f>K8*J3</f>
        <v>5.6818181818181825</v>
      </c>
    </row>
    <row r="14" spans="1:14" ht="15" customHeight="1" x14ac:dyDescent="0.25">
      <c r="A14" s="139"/>
      <c r="B14" s="140"/>
      <c r="C14" s="141"/>
      <c r="D14" s="7"/>
      <c r="E14" s="30"/>
      <c r="F14" s="8"/>
      <c r="G14" s="31"/>
      <c r="H14" s="4"/>
      <c r="I14" s="73" t="s">
        <v>26</v>
      </c>
      <c r="J14" s="74"/>
      <c r="K14" s="74"/>
      <c r="L14" s="75">
        <f>SUM(L11:L13)</f>
        <v>24.764754689754692</v>
      </c>
    </row>
    <row r="15" spans="1:14" ht="15" customHeight="1" x14ac:dyDescent="0.25">
      <c r="A15" s="139"/>
      <c r="B15" s="140"/>
      <c r="C15" s="141"/>
      <c r="D15" s="7"/>
      <c r="E15" s="30"/>
      <c r="F15" s="8"/>
      <c r="G15" s="31"/>
      <c r="H15" s="4"/>
      <c r="I15" s="3" t="s">
        <v>28</v>
      </c>
      <c r="J15" s="6"/>
      <c r="K15" s="6"/>
      <c r="L15" s="20">
        <f>L14*0.3</f>
        <v>7.4294264069264075</v>
      </c>
    </row>
    <row r="16" spans="1:14" ht="15" customHeight="1" x14ac:dyDescent="0.25">
      <c r="A16" s="139"/>
      <c r="B16" s="140"/>
      <c r="C16" s="141"/>
      <c r="D16" s="7"/>
      <c r="E16" s="30"/>
      <c r="F16" s="8"/>
      <c r="G16" s="31"/>
      <c r="H16" s="4"/>
      <c r="I16" s="3" t="s">
        <v>32</v>
      </c>
      <c r="J16" s="6"/>
      <c r="K16" s="6"/>
      <c r="L16" s="124">
        <f>L14*0.5</f>
        <v>12.382377344877346</v>
      </c>
    </row>
    <row r="17" spans="1:12" ht="15" customHeight="1" x14ac:dyDescent="0.25">
      <c r="A17" s="139"/>
      <c r="B17" s="140"/>
      <c r="C17" s="141"/>
      <c r="D17" s="7"/>
      <c r="E17" s="30"/>
      <c r="F17" s="8"/>
      <c r="G17" s="31"/>
      <c r="H17" s="4"/>
      <c r="I17" s="3" t="s">
        <v>33</v>
      </c>
      <c r="J17" s="6"/>
      <c r="K17" s="6"/>
      <c r="L17" s="20">
        <f>L14*1</f>
        <v>24.764754689754692</v>
      </c>
    </row>
    <row r="18" spans="1:12" ht="15" customHeight="1" x14ac:dyDescent="0.25">
      <c r="E18" s="10" t="s">
        <v>31</v>
      </c>
      <c r="F18" s="11"/>
      <c r="G18" s="31">
        <f>SUM(G6:G17)</f>
        <v>17.760714285714286</v>
      </c>
      <c r="H18" s="4"/>
    </row>
    <row r="19" spans="1:12" ht="15" customHeight="1" x14ac:dyDescent="0.25">
      <c r="E19" s="10" t="s">
        <v>47</v>
      </c>
      <c r="F19" s="11"/>
      <c r="G19" s="31" t="e">
        <f>(F19*E19)/D19</f>
        <v>#VALUE!</v>
      </c>
      <c r="H19" s="4"/>
      <c r="I19" s="76" t="s">
        <v>34</v>
      </c>
      <c r="J19" s="77"/>
      <c r="K19" s="78"/>
      <c r="L19" s="79">
        <f>L14+L15</f>
        <v>32.194181096681099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37.147132034632037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49.529509379509385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42.525468975468982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8.505093795093796E-2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32"/>
  <sheetViews>
    <sheetView showGridLines="0" workbookViewId="0">
      <selection activeCell="E9" sqref="E9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80</v>
      </c>
      <c r="C3" s="144"/>
      <c r="D3" s="145"/>
      <c r="E3" s="3" t="s">
        <v>3</v>
      </c>
      <c r="F3" s="112">
        <v>880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56</v>
      </c>
      <c r="B6" s="140"/>
      <c r="C6" s="141"/>
      <c r="D6" s="7">
        <v>395</v>
      </c>
      <c r="E6" s="8">
        <v>7</v>
      </c>
      <c r="F6" s="8">
        <v>395</v>
      </c>
      <c r="G6" s="31">
        <f t="shared" ref="G6:G11" si="0">(F6*E6)/D6</f>
        <v>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81</v>
      </c>
      <c r="B7" s="140"/>
      <c r="C7" s="141"/>
      <c r="D7" s="7">
        <v>1000</v>
      </c>
      <c r="E7" s="8">
        <v>4.5</v>
      </c>
      <c r="F7" s="8">
        <v>500</v>
      </c>
      <c r="G7" s="31">
        <f t="shared" si="0"/>
        <v>2.25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63</v>
      </c>
      <c r="B8" s="140"/>
      <c r="C8" s="141"/>
      <c r="D8" s="7">
        <v>1000</v>
      </c>
      <c r="E8" s="8">
        <v>40</v>
      </c>
      <c r="F8" s="8">
        <v>90</v>
      </c>
      <c r="G8" s="31">
        <f t="shared" si="0"/>
        <v>3.6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14</v>
      </c>
      <c r="B9" s="140"/>
      <c r="C9" s="141"/>
      <c r="D9" s="7">
        <v>5000</v>
      </c>
      <c r="E9" s="8">
        <v>15</v>
      </c>
      <c r="F9" s="8">
        <v>44</v>
      </c>
      <c r="G9" s="31">
        <f t="shared" si="0"/>
        <v>0.13200000000000001</v>
      </c>
      <c r="H9" s="4"/>
      <c r="J9" s="4"/>
      <c r="K9" s="5"/>
    </row>
    <row r="10" spans="1:14" ht="15" customHeight="1" x14ac:dyDescent="0.25">
      <c r="A10" s="139" t="s">
        <v>10</v>
      </c>
      <c r="B10" s="140"/>
      <c r="C10" s="141"/>
      <c r="D10" s="7">
        <v>3000</v>
      </c>
      <c r="E10" s="8">
        <v>45</v>
      </c>
      <c r="F10" s="8">
        <v>100</v>
      </c>
      <c r="G10" s="31">
        <f t="shared" si="0"/>
        <v>1.5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294</v>
      </c>
      <c r="B11" s="140"/>
      <c r="C11" s="141"/>
      <c r="D11" s="7">
        <v>80</v>
      </c>
      <c r="E11" s="8">
        <v>9</v>
      </c>
      <c r="F11" s="8">
        <v>80</v>
      </c>
      <c r="G11" s="31">
        <f t="shared" si="0"/>
        <v>9</v>
      </c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23.481999999999999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25.233010101010102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7.5699030303030304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12.616505050505051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25.233010101010102</v>
      </c>
    </row>
    <row r="18" spans="1:12" ht="15" customHeight="1" x14ac:dyDescent="0.25">
      <c r="E18" s="10" t="s">
        <v>31</v>
      </c>
      <c r="F18" s="11"/>
      <c r="G18" s="12">
        <f>SUM(G6:G17)</f>
        <v>23.481999999999999</v>
      </c>
      <c r="H18" s="4"/>
    </row>
    <row r="19" spans="1:12" ht="15" customHeight="1" x14ac:dyDescent="0.25">
      <c r="E19" s="10" t="s">
        <v>47</v>
      </c>
      <c r="F19" s="11"/>
      <c r="G19" s="12">
        <f>G18/F3</f>
        <v>2.6684090909090907E-2</v>
      </c>
      <c r="H19" s="4"/>
      <c r="I19" s="76" t="s">
        <v>34</v>
      </c>
      <c r="J19" s="77"/>
      <c r="K19" s="78"/>
      <c r="L19" s="79">
        <f>L14+L15</f>
        <v>32.802913131313133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37.849515151515149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50.466020202020204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G18+'Recheio Bolo de pote'!L1</f>
        <v>23.481999999999999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2.6684090909090907E-2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N32"/>
  <sheetViews>
    <sheetView showGridLines="0" workbookViewId="0">
      <selection activeCell="F12" sqref="F12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82</v>
      </c>
      <c r="C3" s="144"/>
      <c r="D3" s="145"/>
      <c r="E3" s="3" t="s">
        <v>3</v>
      </c>
      <c r="F3" s="112">
        <v>12</v>
      </c>
      <c r="G3" s="9"/>
      <c r="H3" s="3" t="s">
        <v>4</v>
      </c>
      <c r="I3" s="6"/>
      <c r="J3" s="9">
        <v>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83</v>
      </c>
      <c r="B6" s="140"/>
      <c r="C6" s="141"/>
      <c r="D6" s="7">
        <v>840</v>
      </c>
      <c r="E6" s="30">
        <v>9</v>
      </c>
      <c r="F6" s="8">
        <v>50</v>
      </c>
      <c r="G6" s="31">
        <f t="shared" ref="G6:G11" si="0">(F6*E6)/D6</f>
        <v>0.5357142857142857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68</v>
      </c>
      <c r="B7" s="140"/>
      <c r="C7" s="141"/>
      <c r="D7" s="7">
        <v>500</v>
      </c>
      <c r="E7" s="30">
        <v>15</v>
      </c>
      <c r="F7" s="8">
        <v>70</v>
      </c>
      <c r="G7" s="31">
        <f t="shared" si="0"/>
        <v>2.1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71</v>
      </c>
      <c r="B8" s="140"/>
      <c r="C8" s="141"/>
      <c r="D8" s="7">
        <v>200</v>
      </c>
      <c r="E8" s="8">
        <v>5</v>
      </c>
      <c r="F8" s="8">
        <v>10</v>
      </c>
      <c r="G8" s="31">
        <f t="shared" si="0"/>
        <v>0.25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84</v>
      </c>
      <c r="B9" s="140"/>
      <c r="C9" s="141"/>
      <c r="D9" s="7">
        <v>880</v>
      </c>
      <c r="E9" s="8">
        <v>16</v>
      </c>
      <c r="F9" s="8">
        <v>70</v>
      </c>
      <c r="G9" s="31">
        <f t="shared" si="0"/>
        <v>1.2727272727272727</v>
      </c>
      <c r="H9" s="4"/>
      <c r="J9" s="4"/>
      <c r="K9" s="5"/>
    </row>
    <row r="10" spans="1:14" ht="15" customHeight="1" x14ac:dyDescent="0.25">
      <c r="A10" s="139" t="s">
        <v>85</v>
      </c>
      <c r="B10" s="140"/>
      <c r="C10" s="141"/>
      <c r="D10" s="7">
        <v>20</v>
      </c>
      <c r="E10" s="8">
        <v>11</v>
      </c>
      <c r="F10" s="8">
        <v>1</v>
      </c>
      <c r="G10" s="31">
        <f t="shared" si="0"/>
        <v>0.55000000000000004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288</v>
      </c>
      <c r="B11" s="140"/>
      <c r="C11" s="141"/>
      <c r="D11" s="7">
        <v>100</v>
      </c>
      <c r="E11" s="8">
        <v>50</v>
      </c>
      <c r="F11" s="8">
        <v>1</v>
      </c>
      <c r="G11" s="31">
        <f t="shared" si="0"/>
        <v>0.5</v>
      </c>
      <c r="H11" s="4"/>
      <c r="I11" s="21" t="s">
        <v>20</v>
      </c>
      <c r="J11" s="22"/>
      <c r="K11" s="22"/>
      <c r="L11" s="23">
        <f>K7*J3</f>
        <v>0.11018518518518518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5.2084415584415584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0.47348484848484856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5.792111592111592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1.7376334776334776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2.896055796055796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5.792111592111592</v>
      </c>
    </row>
    <row r="18" spans="1:12" ht="15" customHeight="1" x14ac:dyDescent="0.25">
      <c r="E18" s="10" t="s">
        <v>31</v>
      </c>
      <c r="F18" s="11"/>
      <c r="G18" s="12">
        <f>SUM(G6:G17)</f>
        <v>5.2084415584415584</v>
      </c>
      <c r="H18" s="4"/>
    </row>
    <row r="19" spans="1:12" ht="15" customHeight="1" x14ac:dyDescent="0.25">
      <c r="E19" s="10" t="s">
        <v>47</v>
      </c>
      <c r="F19" s="11"/>
      <c r="G19" s="12">
        <f>G18/F3</f>
        <v>0.43403679653679655</v>
      </c>
      <c r="H19" s="4"/>
      <c r="I19" s="76" t="s">
        <v>34</v>
      </c>
      <c r="J19" s="77"/>
      <c r="K19" s="78"/>
      <c r="L19" s="79">
        <f>L14+L15</f>
        <v>7.5297450697450694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8.688167388167388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11.584223184223184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11.00055315055315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0.91671276254609591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6011-D255-4848-B439-BAC312D95DC6}">
  <sheetPr>
    <tabColor rgb="FFFFFF00"/>
  </sheetPr>
  <dimension ref="A1:N32"/>
  <sheetViews>
    <sheetView showGridLines="0" workbookViewId="0">
      <selection activeCell="M6" sqref="M6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86</v>
      </c>
      <c r="C3" s="144"/>
      <c r="D3" s="145"/>
      <c r="E3" s="3" t="s">
        <v>3</v>
      </c>
      <c r="F3" s="112">
        <v>1</v>
      </c>
      <c r="G3" s="9"/>
      <c r="H3" s="3" t="s">
        <v>4</v>
      </c>
      <c r="I3" s="6"/>
      <c r="J3" s="9">
        <v>8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83</v>
      </c>
      <c r="B6" s="140"/>
      <c r="C6" s="141"/>
      <c r="D6" s="7">
        <v>1000</v>
      </c>
      <c r="E6" s="30">
        <v>19</v>
      </c>
      <c r="F6" s="8">
        <v>80</v>
      </c>
      <c r="G6" s="31">
        <f>(F6*E6)/D6</f>
        <v>1.52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87</v>
      </c>
      <c r="B7" s="140"/>
      <c r="C7" s="141"/>
      <c r="D7" s="7">
        <v>500</v>
      </c>
      <c r="E7" s="30">
        <v>18</v>
      </c>
      <c r="F7" s="8">
        <v>100</v>
      </c>
      <c r="G7" s="31">
        <f>(F7*E7)/D7</f>
        <v>3.6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88</v>
      </c>
      <c r="B8" s="140"/>
      <c r="C8" s="141"/>
      <c r="D8" s="7">
        <v>400</v>
      </c>
      <c r="E8" s="8">
        <v>35</v>
      </c>
      <c r="F8" s="8">
        <v>10</v>
      </c>
      <c r="G8" s="31">
        <f>(F8*E8)/D8</f>
        <v>0.875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85</v>
      </c>
      <c r="B9" s="140"/>
      <c r="C9" s="141"/>
      <c r="D9" s="7">
        <v>20</v>
      </c>
      <c r="E9" s="8">
        <v>15</v>
      </c>
      <c r="F9" s="8">
        <v>1</v>
      </c>
      <c r="G9" s="31">
        <f>(F9*E9)/D9</f>
        <v>0.75</v>
      </c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0.17629629629629628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6.7450000000000001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0.75757575757575768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7.6788720538720545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2.3036616161616164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3.8394360269360273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7.6788720538720545</v>
      </c>
    </row>
    <row r="18" spans="1:12" ht="15" customHeight="1" x14ac:dyDescent="0.25">
      <c r="E18" s="10" t="s">
        <v>31</v>
      </c>
      <c r="F18" s="11"/>
      <c r="G18" s="12">
        <f>SUM(G6:G17)</f>
        <v>6.7450000000000001</v>
      </c>
      <c r="H18" s="4"/>
    </row>
    <row r="19" spans="1:12" ht="15" customHeight="1" x14ac:dyDescent="0.25">
      <c r="E19" s="10" t="s">
        <v>47</v>
      </c>
      <c r="F19" s="11"/>
      <c r="G19" s="12">
        <f>G18/F3</f>
        <v>6.7450000000000001</v>
      </c>
      <c r="H19" s="4"/>
      <c r="I19" s="76" t="s">
        <v>34</v>
      </c>
      <c r="J19" s="77"/>
      <c r="K19" s="78"/>
      <c r="L19" s="79">
        <f>L14+L15</f>
        <v>9.9825336700336713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11.518308080808081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15.357744107744109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14.423872053872055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14.423872053872055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N32"/>
  <sheetViews>
    <sheetView showGridLines="0" topLeftCell="A15" workbookViewId="0">
      <selection activeCell="E10" sqref="E10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89</v>
      </c>
      <c r="C3" s="144"/>
      <c r="D3" s="145"/>
      <c r="E3" s="3" t="s">
        <v>3</v>
      </c>
      <c r="F3" s="6">
        <v>30</v>
      </c>
      <c r="G3" s="9"/>
      <c r="H3" s="3" t="s">
        <v>4</v>
      </c>
      <c r="I3" s="6"/>
      <c r="J3" s="9">
        <v>180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90</v>
      </c>
      <c r="B6" s="140"/>
      <c r="C6" s="141"/>
      <c r="D6" s="7">
        <v>1000</v>
      </c>
      <c r="E6" s="30">
        <v>5</v>
      </c>
      <c r="F6" s="8">
        <v>500</v>
      </c>
      <c r="G6" s="31">
        <f>(F6*E6)/D6</f>
        <v>2.5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91</v>
      </c>
      <c r="B7" s="140"/>
      <c r="C7" s="141"/>
      <c r="D7" s="7">
        <v>1000</v>
      </c>
      <c r="E7" s="30">
        <v>6</v>
      </c>
      <c r="F7" s="8">
        <v>250</v>
      </c>
      <c r="G7" s="31">
        <f t="shared" ref="G7:G17" si="0">(F7*E7)/D7</f>
        <v>1.5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92</v>
      </c>
      <c r="B8" s="140"/>
      <c r="C8" s="141"/>
      <c r="D8" s="7">
        <v>30</v>
      </c>
      <c r="E8" s="30">
        <v>20</v>
      </c>
      <c r="F8" s="8">
        <v>6</v>
      </c>
      <c r="G8" s="31">
        <f t="shared" si="0"/>
        <v>4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93</v>
      </c>
      <c r="B9" s="140"/>
      <c r="C9" s="141"/>
      <c r="D9" s="7">
        <v>1000</v>
      </c>
      <c r="E9" s="114">
        <v>3</v>
      </c>
      <c r="F9" s="8">
        <v>4</v>
      </c>
      <c r="G9" s="31">
        <f t="shared" si="0"/>
        <v>1.2E-2</v>
      </c>
      <c r="H9" s="4"/>
      <c r="J9" s="4"/>
      <c r="K9" s="5"/>
    </row>
    <row r="10" spans="1:14" ht="15" customHeight="1" x14ac:dyDescent="0.25">
      <c r="A10" s="139" t="s">
        <v>94</v>
      </c>
      <c r="B10" s="140"/>
      <c r="C10" s="141"/>
      <c r="D10" s="7">
        <v>1000</v>
      </c>
      <c r="E10" s="30">
        <v>4.5</v>
      </c>
      <c r="F10" s="8">
        <v>75</v>
      </c>
      <c r="G10" s="31">
        <f t="shared" si="0"/>
        <v>0.33750000000000002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95</v>
      </c>
      <c r="B11" s="140"/>
      <c r="C11" s="141"/>
      <c r="D11" s="7">
        <v>1000</v>
      </c>
      <c r="E11" s="30">
        <v>14</v>
      </c>
      <c r="F11" s="8">
        <v>50</v>
      </c>
      <c r="G11" s="31">
        <f t="shared" si="0"/>
        <v>0.7</v>
      </c>
      <c r="H11" s="4"/>
      <c r="I11" s="21" t="s">
        <v>20</v>
      </c>
      <c r="J11" s="22"/>
      <c r="K11" s="22"/>
      <c r="L11" s="23">
        <f>K7*J3</f>
        <v>3.9666666666666663</v>
      </c>
    </row>
    <row r="12" spans="1:14" ht="15" customHeight="1" x14ac:dyDescent="0.25">
      <c r="A12" s="139" t="s">
        <v>96</v>
      </c>
      <c r="B12" s="140"/>
      <c r="C12" s="141"/>
      <c r="D12" s="7">
        <v>125</v>
      </c>
      <c r="E12" s="30">
        <v>9</v>
      </c>
      <c r="F12" s="8">
        <v>12</v>
      </c>
      <c r="G12" s="31">
        <f t="shared" si="0"/>
        <v>0.86399999999999999</v>
      </c>
      <c r="H12" s="4"/>
      <c r="I12" s="24" t="s">
        <v>22</v>
      </c>
      <c r="J12" s="4"/>
      <c r="K12" s="4"/>
      <c r="L12" s="25">
        <f>G18</f>
        <v>49.980499999999999</v>
      </c>
    </row>
    <row r="13" spans="1:14" ht="15" customHeight="1" x14ac:dyDescent="0.25">
      <c r="A13" s="139" t="s">
        <v>97</v>
      </c>
      <c r="B13" s="140"/>
      <c r="C13" s="141"/>
      <c r="D13" s="7">
        <v>10</v>
      </c>
      <c r="E13" s="30">
        <v>2.5</v>
      </c>
      <c r="F13" s="8">
        <v>5</v>
      </c>
      <c r="G13" s="31">
        <f t="shared" si="0"/>
        <v>1.25</v>
      </c>
      <c r="H13" s="4"/>
      <c r="I13" s="26" t="s">
        <v>24</v>
      </c>
      <c r="J13" s="27"/>
      <c r="K13" s="27"/>
      <c r="L13" s="28">
        <f>K8*J3</f>
        <v>17.045454545454547</v>
      </c>
    </row>
    <row r="14" spans="1:14" ht="15" customHeight="1" x14ac:dyDescent="0.25">
      <c r="A14" s="139" t="s">
        <v>98</v>
      </c>
      <c r="B14" s="140"/>
      <c r="C14" s="141"/>
      <c r="D14" s="7">
        <v>10</v>
      </c>
      <c r="E14" s="8">
        <v>3.17</v>
      </c>
      <c r="F14" s="8">
        <v>1</v>
      </c>
      <c r="G14" s="31">
        <f t="shared" si="0"/>
        <v>0.317</v>
      </c>
      <c r="H14" s="4"/>
      <c r="I14" s="73" t="s">
        <v>26</v>
      </c>
      <c r="J14" s="74"/>
      <c r="K14" s="74"/>
      <c r="L14" s="75">
        <f>SUM(L11:L13)</f>
        <v>70.992621212121207</v>
      </c>
    </row>
    <row r="15" spans="1:14" ht="15" customHeight="1" x14ac:dyDescent="0.25">
      <c r="A15" s="139" t="s">
        <v>99</v>
      </c>
      <c r="B15" s="140"/>
      <c r="C15" s="141"/>
      <c r="D15" s="7">
        <v>1200</v>
      </c>
      <c r="E15" s="8">
        <v>27</v>
      </c>
      <c r="F15" s="8">
        <v>1200</v>
      </c>
      <c r="G15" s="31">
        <f t="shared" si="0"/>
        <v>27</v>
      </c>
      <c r="H15" s="4"/>
      <c r="I15" s="3" t="s">
        <v>33</v>
      </c>
      <c r="J15" s="6"/>
      <c r="K15" s="6"/>
      <c r="L15" s="20">
        <f>L14*1</f>
        <v>70.992621212121207</v>
      </c>
    </row>
    <row r="16" spans="1:14" ht="15" customHeight="1" x14ac:dyDescent="0.25">
      <c r="A16" s="139" t="s">
        <v>100</v>
      </c>
      <c r="B16" s="140"/>
      <c r="C16" s="141"/>
      <c r="D16" s="7">
        <v>380</v>
      </c>
      <c r="E16" s="8">
        <v>19</v>
      </c>
      <c r="F16" s="8">
        <v>50</v>
      </c>
      <c r="G16" s="31">
        <f t="shared" si="0"/>
        <v>2.5</v>
      </c>
      <c r="H16" s="4"/>
      <c r="I16" s="76" t="s">
        <v>29</v>
      </c>
      <c r="J16" s="77"/>
      <c r="K16" s="78"/>
      <c r="L16" s="79">
        <f>SUM(L14:L15)</f>
        <v>141.98524242424241</v>
      </c>
    </row>
    <row r="17" spans="1:12" ht="15" customHeight="1" x14ac:dyDescent="0.25">
      <c r="A17" s="139" t="s">
        <v>101</v>
      </c>
      <c r="B17" s="140"/>
      <c r="C17" s="141"/>
      <c r="D17" s="7">
        <v>900</v>
      </c>
      <c r="E17" s="8">
        <v>9</v>
      </c>
      <c r="F17" s="8">
        <v>900</v>
      </c>
      <c r="G17" s="31">
        <f t="shared" si="0"/>
        <v>9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SUM(G6:G17)</f>
        <v>49.980499999999999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BF66-22A6-4089-BEAE-98384379D55A}">
  <sheetPr>
    <tabColor theme="5" tint="-0.249977111117893"/>
  </sheetPr>
  <dimension ref="A1:N32"/>
  <sheetViews>
    <sheetView showGridLines="0" workbookViewId="0">
      <selection activeCell="F3" sqref="F3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102</v>
      </c>
      <c r="C3" s="144"/>
      <c r="D3" s="145"/>
      <c r="E3" s="3" t="s">
        <v>3</v>
      </c>
      <c r="F3" s="6" t="s">
        <v>103</v>
      </c>
      <c r="G3" s="9"/>
      <c r="H3" s="3" t="s">
        <v>4</v>
      </c>
      <c r="I3" s="6"/>
      <c r="J3" s="9">
        <v>30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104</v>
      </c>
      <c r="B6" s="140"/>
      <c r="C6" s="141"/>
      <c r="D6" s="7">
        <v>500</v>
      </c>
      <c r="E6" s="30">
        <v>13</v>
      </c>
      <c r="F6" s="8">
        <v>75</v>
      </c>
      <c r="G6" s="31">
        <f>F6*E6/D6</f>
        <v>1.95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105</v>
      </c>
      <c r="B7" s="140"/>
      <c r="C7" s="141"/>
      <c r="D7" s="7">
        <v>200</v>
      </c>
      <c r="E7" s="30">
        <v>12</v>
      </c>
      <c r="F7" s="8">
        <v>40</v>
      </c>
      <c r="G7" s="31">
        <f>F7*E7/D7</f>
        <v>2.4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</v>
      </c>
      <c r="B8" s="140"/>
      <c r="C8" s="141"/>
      <c r="D8" s="7">
        <v>1000</v>
      </c>
      <c r="E8" s="30">
        <v>4.5</v>
      </c>
      <c r="F8" s="8">
        <v>160</v>
      </c>
      <c r="G8" s="31">
        <f>F8*E8/D8</f>
        <v>0.72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45</v>
      </c>
      <c r="B9" s="140"/>
      <c r="C9" s="141"/>
      <c r="D9" s="7">
        <v>1000</v>
      </c>
      <c r="E9" s="8">
        <v>100</v>
      </c>
      <c r="F9" s="8">
        <v>4</v>
      </c>
      <c r="G9" s="31">
        <f>F9*E9/D9</f>
        <v>0.4</v>
      </c>
      <c r="H9" s="4"/>
      <c r="J9" s="4"/>
      <c r="K9" s="5"/>
    </row>
    <row r="10" spans="1:14" ht="15" customHeight="1" x14ac:dyDescent="0.25">
      <c r="A10" s="139" t="s">
        <v>106</v>
      </c>
      <c r="B10" s="140"/>
      <c r="C10" s="141"/>
      <c r="D10" s="7">
        <v>100</v>
      </c>
      <c r="E10" s="8">
        <v>7</v>
      </c>
      <c r="F10" s="8">
        <v>4</v>
      </c>
      <c r="G10" s="31">
        <f>F10*E10/D10</f>
        <v>0.28000000000000003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0.66111111111111109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5.75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2.8409090909090913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9.2520202020202031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9.2520202020202031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/>
      <c r="H16" s="4"/>
      <c r="I16" s="76" t="s">
        <v>29</v>
      </c>
      <c r="J16" s="77"/>
      <c r="K16" s="78"/>
      <c r="L16" s="79">
        <f>SUM(L14+L15)</f>
        <v>18.504040404040406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/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SUM(G6:H17)</f>
        <v>5.75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2CD6-6944-45B4-B4C7-A5687FF3427D}">
  <sheetPr>
    <tabColor theme="5" tint="-0.249977111117893"/>
  </sheetPr>
  <dimension ref="A1:N32"/>
  <sheetViews>
    <sheetView showGridLines="0" topLeftCell="A8" workbookViewId="0">
      <selection activeCell="N17" sqref="N1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107</v>
      </c>
      <c r="C3" s="144"/>
      <c r="D3" s="145"/>
      <c r="E3" s="3" t="s">
        <v>3</v>
      </c>
      <c r="F3" s="6" t="s">
        <v>108</v>
      </c>
      <c r="G3" s="9"/>
      <c r="H3" s="3" t="s">
        <v>4</v>
      </c>
      <c r="I3" s="6"/>
      <c r="J3" s="9">
        <v>60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104</v>
      </c>
      <c r="B6" s="140"/>
      <c r="C6" s="141"/>
      <c r="D6" s="7">
        <v>500</v>
      </c>
      <c r="E6" s="30">
        <v>13</v>
      </c>
      <c r="F6" s="8">
        <v>75</v>
      </c>
      <c r="G6" s="31">
        <f>F6*E6/D6</f>
        <v>1.95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105</v>
      </c>
      <c r="B7" s="140"/>
      <c r="C7" s="141"/>
      <c r="D7" s="7">
        <v>200</v>
      </c>
      <c r="E7" s="30">
        <v>12</v>
      </c>
      <c r="F7" s="8">
        <v>40</v>
      </c>
      <c r="G7" s="31">
        <f t="shared" ref="G7:G12" si="0">F7*E7/D7</f>
        <v>2.4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</v>
      </c>
      <c r="B8" s="140"/>
      <c r="C8" s="141"/>
      <c r="D8" s="7">
        <v>1000</v>
      </c>
      <c r="E8" s="30">
        <v>4.5</v>
      </c>
      <c r="F8" s="8">
        <v>160</v>
      </c>
      <c r="G8" s="31">
        <f t="shared" si="0"/>
        <v>0.72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45</v>
      </c>
      <c r="B9" s="140"/>
      <c r="C9" s="141"/>
      <c r="D9" s="7">
        <v>1000</v>
      </c>
      <c r="E9" s="8">
        <v>100</v>
      </c>
      <c r="F9" s="8">
        <v>4</v>
      </c>
      <c r="G9" s="31">
        <f t="shared" si="0"/>
        <v>0.4</v>
      </c>
      <c r="H9" s="4"/>
      <c r="J9" s="4"/>
      <c r="K9" s="5"/>
    </row>
    <row r="10" spans="1:14" ht="15" customHeight="1" x14ac:dyDescent="0.25">
      <c r="A10" s="139" t="s">
        <v>106</v>
      </c>
      <c r="B10" s="140"/>
      <c r="C10" s="141"/>
      <c r="D10" s="7">
        <v>100</v>
      </c>
      <c r="E10" s="8">
        <v>7</v>
      </c>
      <c r="F10" s="8">
        <v>4</v>
      </c>
      <c r="G10" s="31">
        <f t="shared" si="0"/>
        <v>0.28000000000000003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109</v>
      </c>
      <c r="B11" s="140"/>
      <c r="C11" s="141"/>
      <c r="D11" s="7">
        <v>2050</v>
      </c>
      <c r="E11" s="8">
        <v>65</v>
      </c>
      <c r="F11" s="8">
        <v>240</v>
      </c>
      <c r="G11" s="31">
        <f t="shared" si="0"/>
        <v>7.6097560975609753</v>
      </c>
      <c r="H11" s="4"/>
      <c r="I11" s="21" t="s">
        <v>20</v>
      </c>
      <c r="J11" s="22"/>
      <c r="K11" s="22"/>
      <c r="L11" s="23">
        <f>K7*J3</f>
        <v>1.3222222222222222</v>
      </c>
    </row>
    <row r="12" spans="1:14" ht="15" customHeight="1" x14ac:dyDescent="0.25">
      <c r="A12" s="139" t="s">
        <v>110</v>
      </c>
      <c r="B12" s="140"/>
      <c r="C12" s="141"/>
      <c r="D12" s="7">
        <v>900</v>
      </c>
      <c r="E12" s="8">
        <v>55</v>
      </c>
      <c r="F12" s="8">
        <v>80</v>
      </c>
      <c r="G12" s="31">
        <f t="shared" si="0"/>
        <v>4.8888888888888893</v>
      </c>
      <c r="H12" s="4"/>
      <c r="I12" s="24" t="s">
        <v>22</v>
      </c>
      <c r="J12" s="4"/>
      <c r="K12" s="4"/>
      <c r="L12" s="25">
        <f>G18</f>
        <v>18.248644986449865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5.6818181818181825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25.252685390490271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25.252685390490271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/>
      <c r="H16" s="4"/>
      <c r="I16" s="76" t="s">
        <v>29</v>
      </c>
      <c r="J16" s="77"/>
      <c r="K16" s="78"/>
      <c r="L16" s="79">
        <f>SUM(L14+L15)</f>
        <v>50.505370780980542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/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SUM(G6:H17)</f>
        <v>18.248644986449865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1661-330E-4BF6-8F6E-D2BB5FCBEDEA}">
  <sheetPr>
    <tabColor rgb="FF92D050"/>
  </sheetPr>
  <dimension ref="A1:N32"/>
  <sheetViews>
    <sheetView showGridLines="0" workbookViewId="0">
      <selection activeCell="G12" sqref="G12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297</v>
      </c>
      <c r="C3" s="144"/>
      <c r="D3" s="145"/>
      <c r="E3" s="3" t="s">
        <v>3</v>
      </c>
      <c r="F3" s="112">
        <v>900</v>
      </c>
      <c r="G3" s="9" t="s">
        <v>300</v>
      </c>
      <c r="H3" s="3" t="s">
        <v>4</v>
      </c>
      <c r="I3" s="6"/>
      <c r="J3" s="9">
        <v>240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14</v>
      </c>
      <c r="B6" s="140"/>
      <c r="C6" s="141"/>
      <c r="D6" s="7">
        <v>5000</v>
      </c>
      <c r="E6" s="8">
        <v>20</v>
      </c>
      <c r="F6" s="8">
        <v>500</v>
      </c>
      <c r="G6" s="31">
        <f>(F6*E6)/D6</f>
        <v>2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</v>
      </c>
      <c r="B7" s="140"/>
      <c r="C7" s="141"/>
      <c r="D7" s="7">
        <v>3000</v>
      </c>
      <c r="E7" s="8">
        <v>45</v>
      </c>
      <c r="F7" s="8">
        <v>100</v>
      </c>
      <c r="G7" s="31">
        <f t="shared" ref="G7:G17" si="0">(F7*E7)/D7</f>
        <v>1.5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298</v>
      </c>
      <c r="B8" s="140"/>
      <c r="C8" s="141"/>
      <c r="D8" s="7">
        <v>200</v>
      </c>
      <c r="E8" s="8">
        <v>10</v>
      </c>
      <c r="F8" s="8">
        <v>200</v>
      </c>
      <c r="G8" s="31">
        <f t="shared" si="0"/>
        <v>10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193</v>
      </c>
      <c r="B9" s="140"/>
      <c r="C9" s="141"/>
      <c r="D9" s="7">
        <v>30</v>
      </c>
      <c r="E9" s="8">
        <v>3.19</v>
      </c>
      <c r="F9" s="8">
        <v>5</v>
      </c>
      <c r="G9" s="31">
        <f t="shared" si="0"/>
        <v>0.53166666666666662</v>
      </c>
      <c r="H9" s="4"/>
      <c r="J9" s="4"/>
      <c r="K9" s="5"/>
    </row>
    <row r="10" spans="1:14" ht="15" customHeight="1" x14ac:dyDescent="0.25">
      <c r="A10" s="139" t="s">
        <v>12</v>
      </c>
      <c r="B10" s="140"/>
      <c r="C10" s="141"/>
      <c r="D10" s="7">
        <v>1000</v>
      </c>
      <c r="E10" s="8">
        <v>4.5</v>
      </c>
      <c r="F10" s="8">
        <v>180</v>
      </c>
      <c r="G10" s="31">
        <f t="shared" si="0"/>
        <v>0.81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139</v>
      </c>
      <c r="B11" s="140"/>
      <c r="C11" s="141"/>
      <c r="D11" s="7">
        <v>2050</v>
      </c>
      <c r="E11" s="8">
        <v>80</v>
      </c>
      <c r="F11" s="8">
        <v>150</v>
      </c>
      <c r="G11" s="31"/>
      <c r="H11" s="4"/>
      <c r="I11" s="21" t="s">
        <v>20</v>
      </c>
      <c r="J11" s="22"/>
      <c r="K11" s="22"/>
      <c r="L11" s="23">
        <f>K7*J3</f>
        <v>5.2888888888888888</v>
      </c>
    </row>
    <row r="12" spans="1:14" ht="15" customHeight="1" x14ac:dyDescent="0.25">
      <c r="A12" s="139" t="s">
        <v>301</v>
      </c>
      <c r="B12" s="140"/>
      <c r="C12" s="141"/>
      <c r="D12" s="7">
        <v>100</v>
      </c>
      <c r="E12" s="8">
        <v>6</v>
      </c>
      <c r="F12" s="8">
        <v>20</v>
      </c>
      <c r="G12" s="31">
        <f t="shared" si="0"/>
        <v>1.2</v>
      </c>
      <c r="H12" s="4"/>
      <c r="I12" s="24" t="s">
        <v>22</v>
      </c>
      <c r="J12" s="4"/>
      <c r="K12" s="4"/>
      <c r="L12" s="25">
        <f>G18</f>
        <v>41.841666666666661</v>
      </c>
    </row>
    <row r="13" spans="1:14" ht="15" customHeight="1" x14ac:dyDescent="0.25">
      <c r="A13" s="139" t="s">
        <v>302</v>
      </c>
      <c r="B13" s="140"/>
      <c r="C13" s="141"/>
      <c r="D13" s="7">
        <v>10000</v>
      </c>
      <c r="E13" s="8">
        <v>14</v>
      </c>
      <c r="F13" s="8">
        <v>10000</v>
      </c>
      <c r="G13" s="31">
        <f t="shared" si="0"/>
        <v>14</v>
      </c>
      <c r="H13" s="4"/>
      <c r="I13" s="26" t="s">
        <v>24</v>
      </c>
      <c r="J13" s="27"/>
      <c r="K13" s="27"/>
      <c r="L13" s="28">
        <f>K8*J3</f>
        <v>22.72727272727273</v>
      </c>
    </row>
    <row r="14" spans="1:14" ht="15" customHeight="1" x14ac:dyDescent="0.25">
      <c r="A14" s="139" t="s">
        <v>184</v>
      </c>
      <c r="B14" s="140"/>
      <c r="C14" s="141"/>
      <c r="D14" s="7">
        <v>100</v>
      </c>
      <c r="E14" s="8">
        <v>43</v>
      </c>
      <c r="F14" s="8">
        <v>20</v>
      </c>
      <c r="G14" s="31">
        <f t="shared" si="0"/>
        <v>8.6</v>
      </c>
      <c r="H14" s="4"/>
      <c r="I14" s="73" t="s">
        <v>26</v>
      </c>
      <c r="J14" s="74"/>
      <c r="K14" s="74"/>
      <c r="L14" s="75">
        <f>SUM(L11:L13)</f>
        <v>69.857828282828279</v>
      </c>
    </row>
    <row r="15" spans="1:14" ht="15" customHeight="1" x14ac:dyDescent="0.25">
      <c r="A15" s="139" t="s">
        <v>303</v>
      </c>
      <c r="B15" s="140"/>
      <c r="C15" s="141"/>
      <c r="D15" s="7">
        <v>10</v>
      </c>
      <c r="E15" s="8">
        <v>12</v>
      </c>
      <c r="F15" s="8">
        <v>2</v>
      </c>
      <c r="G15" s="31">
        <f t="shared" si="0"/>
        <v>2.4</v>
      </c>
      <c r="H15" s="4"/>
      <c r="I15" s="3" t="s">
        <v>28</v>
      </c>
      <c r="J15" s="6"/>
      <c r="K15" s="6"/>
      <c r="L15" s="20">
        <f>L14*0.3</f>
        <v>20.957348484848485</v>
      </c>
    </row>
    <row r="16" spans="1:14" ht="15" customHeight="1" x14ac:dyDescent="0.25">
      <c r="A16" s="139" t="s">
        <v>317</v>
      </c>
      <c r="B16" s="140"/>
      <c r="C16" s="141"/>
      <c r="D16" s="7">
        <v>100</v>
      </c>
      <c r="E16" s="8">
        <v>4</v>
      </c>
      <c r="F16" s="8">
        <v>20</v>
      </c>
      <c r="G16" s="31">
        <f t="shared" si="0"/>
        <v>0.8</v>
      </c>
      <c r="H16" s="4"/>
      <c r="I16" s="3" t="s">
        <v>32</v>
      </c>
      <c r="J16" s="6"/>
      <c r="K16" s="6"/>
      <c r="L16" s="124">
        <f>L14*0.5</f>
        <v>34.92891414141414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69.857828282828279</v>
      </c>
    </row>
    <row r="18" spans="1:12" ht="15" customHeight="1" x14ac:dyDescent="0.25">
      <c r="E18" s="10" t="s">
        <v>31</v>
      </c>
      <c r="F18" s="11"/>
      <c r="G18" s="12">
        <f>SUM(G6:G17)</f>
        <v>41.841666666666661</v>
      </c>
      <c r="H18" s="4"/>
    </row>
    <row r="19" spans="1:12" ht="15" customHeight="1" x14ac:dyDescent="0.25">
      <c r="E19" s="10" t="s">
        <v>47</v>
      </c>
      <c r="F19" s="11"/>
      <c r="G19" s="12">
        <f>G18/F3</f>
        <v>4.6490740740740735E-2</v>
      </c>
      <c r="H19" s="4"/>
      <c r="I19" s="76" t="s">
        <v>34</v>
      </c>
      <c r="J19" s="77"/>
      <c r="K19" s="78"/>
      <c r="L19" s="79">
        <f>L14+L15</f>
        <v>90.815176767676761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104.78674242424242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139.71565656565656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G18+'Biscoitos decorados'!L1</f>
        <v>41.841666666666661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4.6490740740740735E-2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U32"/>
  <sheetViews>
    <sheetView showGridLines="0" zoomScale="106" zoomScaleNormal="106" workbookViewId="0">
      <selection activeCell="F15" sqref="F15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111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10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112</v>
      </c>
      <c r="B6" s="140"/>
      <c r="C6" s="141"/>
      <c r="D6" s="7">
        <v>300</v>
      </c>
      <c r="E6" s="30">
        <v>75</v>
      </c>
      <c r="F6" s="8">
        <v>1</v>
      </c>
      <c r="G6" s="31">
        <f>(F6*E6)/D6</f>
        <v>0.25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113</v>
      </c>
      <c r="B7" s="140"/>
      <c r="C7" s="141"/>
      <c r="D7" s="7">
        <v>2050</v>
      </c>
      <c r="E7" s="30">
        <v>65</v>
      </c>
      <c r="F7" s="8">
        <v>15</v>
      </c>
      <c r="G7" s="31">
        <f>(F7*E7)/D7</f>
        <v>0.47560975609756095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75</v>
      </c>
      <c r="B8" s="140"/>
      <c r="C8" s="141"/>
      <c r="D8" s="7">
        <v>500</v>
      </c>
      <c r="E8" s="30">
        <v>22</v>
      </c>
      <c r="F8" s="8">
        <v>50</v>
      </c>
      <c r="G8" s="31">
        <f>(F8*E8)/D8</f>
        <v>2.2000000000000002</v>
      </c>
      <c r="H8" s="4"/>
      <c r="I8" s="154" t="s">
        <v>114</v>
      </c>
      <c r="J8" s="155"/>
      <c r="K8" s="108">
        <f>Custos!L15</f>
        <v>9.469696969696971E-2</v>
      </c>
    </row>
    <row r="9" spans="1:18" ht="15" customHeight="1" x14ac:dyDescent="0.25">
      <c r="A9" s="139" t="s">
        <v>115</v>
      </c>
      <c r="B9" s="140"/>
      <c r="C9" s="141"/>
      <c r="D9" s="7">
        <v>400</v>
      </c>
      <c r="E9" s="30">
        <v>50</v>
      </c>
      <c r="F9" s="8">
        <v>4</v>
      </c>
      <c r="G9" s="31">
        <f>(F9*E9)/D9</f>
        <v>0.5</v>
      </c>
      <c r="H9" s="4"/>
      <c r="J9" s="4"/>
      <c r="K9" s="5"/>
    </row>
    <row r="10" spans="1:18" ht="15" customHeight="1" x14ac:dyDescent="0.25">
      <c r="A10" s="139" t="s">
        <v>116</v>
      </c>
      <c r="B10" s="140"/>
      <c r="C10" s="141"/>
      <c r="D10" s="7">
        <v>50</v>
      </c>
      <c r="E10" s="30">
        <v>15</v>
      </c>
      <c r="F10" s="8">
        <v>1</v>
      </c>
      <c r="G10" s="31">
        <f t="shared" ref="G10:G17" si="0">(F10*E10)/D10</f>
        <v>0.3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117</v>
      </c>
      <c r="B11" s="140"/>
      <c r="C11" s="141"/>
      <c r="D11" s="7">
        <v>1000</v>
      </c>
      <c r="E11" s="30">
        <v>100</v>
      </c>
      <c r="F11" s="8">
        <v>1</v>
      </c>
      <c r="G11" s="31">
        <f t="shared" si="0"/>
        <v>0.1</v>
      </c>
      <c r="H11" s="4"/>
      <c r="I11" s="21" t="s">
        <v>20</v>
      </c>
      <c r="J11" s="22"/>
      <c r="K11" s="22"/>
      <c r="L11" s="23">
        <f>K7*J3</f>
        <v>0.22037037037037036</v>
      </c>
      <c r="P11" s="106"/>
    </row>
    <row r="12" spans="1:18" ht="15" customHeight="1" x14ac:dyDescent="0.25">
      <c r="A12" s="139" t="s">
        <v>125</v>
      </c>
      <c r="B12" s="140"/>
      <c r="C12" s="141"/>
      <c r="D12" s="7">
        <v>900</v>
      </c>
      <c r="E12" s="8">
        <v>29</v>
      </c>
      <c r="F12" s="8">
        <v>100</v>
      </c>
      <c r="G12" s="31"/>
      <c r="H12" s="4"/>
      <c r="I12" s="24" t="s">
        <v>22</v>
      </c>
      <c r="J12" s="4"/>
      <c r="K12" s="4"/>
      <c r="L12" s="25">
        <f>G18</f>
        <v>4.3206097560975616</v>
      </c>
    </row>
    <row r="13" spans="1:18" ht="15" customHeight="1" x14ac:dyDescent="0.25">
      <c r="A13" s="139" t="s">
        <v>184</v>
      </c>
      <c r="B13" s="140"/>
      <c r="C13" s="141"/>
      <c r="D13" s="7">
        <v>200</v>
      </c>
      <c r="E13" s="30">
        <v>43</v>
      </c>
      <c r="F13" s="8">
        <v>1</v>
      </c>
      <c r="G13" s="31">
        <f t="shared" si="0"/>
        <v>0.215</v>
      </c>
      <c r="H13" s="4"/>
      <c r="I13" s="26" t="s">
        <v>24</v>
      </c>
      <c r="J13" s="27"/>
      <c r="K13" s="27"/>
      <c r="L13" s="28">
        <f>K8*J3</f>
        <v>0.94696969696969713</v>
      </c>
    </row>
    <row r="14" spans="1:18" ht="15" customHeight="1" x14ac:dyDescent="0.25">
      <c r="A14" s="139" t="s">
        <v>79</v>
      </c>
      <c r="B14" s="140"/>
      <c r="C14" s="141"/>
      <c r="D14" s="7">
        <v>10000</v>
      </c>
      <c r="E14" s="8">
        <v>14</v>
      </c>
      <c r="F14" s="8">
        <v>200</v>
      </c>
      <c r="G14" s="31">
        <f t="shared" si="0"/>
        <v>0.28000000000000003</v>
      </c>
      <c r="H14" s="4"/>
      <c r="I14" s="125" t="s">
        <v>26</v>
      </c>
      <c r="J14" s="126"/>
      <c r="K14" s="126"/>
      <c r="L14" s="127">
        <f>SUM(L11:L13)</f>
        <v>5.4879498234376296</v>
      </c>
      <c r="P14" s="106"/>
    </row>
    <row r="15" spans="1:18" ht="15" customHeight="1" x14ac:dyDescent="0.25">
      <c r="A15" s="139"/>
      <c r="B15" s="140"/>
      <c r="C15" s="141"/>
      <c r="D15" s="7">
        <v>1</v>
      </c>
      <c r="E15" s="8"/>
      <c r="F15" s="8">
        <v>1</v>
      </c>
      <c r="G15" s="31">
        <f t="shared" si="0"/>
        <v>0</v>
      </c>
      <c r="H15" s="4"/>
      <c r="I15" s="3" t="s">
        <v>28</v>
      </c>
      <c r="J15" s="6"/>
      <c r="K15" s="6"/>
      <c r="L15" s="20">
        <f>L14*0.3</f>
        <v>1.6463849470312888</v>
      </c>
      <c r="R15" s="106"/>
    </row>
    <row r="16" spans="1:18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3" t="s">
        <v>32</v>
      </c>
      <c r="J16" s="6"/>
      <c r="K16" s="6"/>
      <c r="L16" s="124">
        <f>L14*0.5</f>
        <v>2.7439749117188148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5.4879498234376296</v>
      </c>
    </row>
    <row r="18" spans="1:21" ht="15" customHeight="1" x14ac:dyDescent="0.25">
      <c r="E18" s="10" t="s">
        <v>31</v>
      </c>
      <c r="F18" s="11"/>
      <c r="G18" s="12">
        <f>SUM(G6:G14)</f>
        <v>4.3206097560975616</v>
      </c>
      <c r="H18" s="4"/>
      <c r="R18" s="106"/>
    </row>
    <row r="19" spans="1:21" ht="15" customHeight="1" x14ac:dyDescent="0.25">
      <c r="E19" s="10" t="s">
        <v>47</v>
      </c>
      <c r="F19" s="11"/>
      <c r="G19" s="12"/>
      <c r="H19" s="4"/>
      <c r="I19" s="76" t="s">
        <v>34</v>
      </c>
      <c r="J19" s="77"/>
      <c r="K19" s="78"/>
      <c r="L19" s="79">
        <f>L14+L15</f>
        <v>7.134334770468918</v>
      </c>
      <c r="P19" s="106"/>
    </row>
    <row r="20" spans="1:21" ht="15" customHeight="1" x14ac:dyDescent="0.25">
      <c r="G20" s="128"/>
      <c r="H20" s="4"/>
      <c r="I20" s="116" t="s">
        <v>35</v>
      </c>
      <c r="J20" s="117"/>
      <c r="K20" s="118"/>
      <c r="L20" s="119">
        <f>L14+L16</f>
        <v>8.2319247351564435</v>
      </c>
    </row>
    <row r="21" spans="1:21" ht="15" customHeight="1" x14ac:dyDescent="0.25">
      <c r="H21" s="4"/>
      <c r="I21" s="120" t="s">
        <v>36</v>
      </c>
      <c r="J21" s="121"/>
      <c r="K21" s="122"/>
      <c r="L21" s="123">
        <f>L14+L17</f>
        <v>10.975899646875259</v>
      </c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2"/>
  <sheetViews>
    <sheetView showGridLines="0" workbookViewId="0">
      <selection activeCell="A13" sqref="A13:C13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118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30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65</v>
      </c>
      <c r="F6" s="8">
        <v>50</v>
      </c>
      <c r="G6" s="31">
        <f>(F6*E6)/D6</f>
        <v>1.5853658536585367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75</v>
      </c>
      <c r="B7" s="140"/>
      <c r="C7" s="141"/>
      <c r="D7" s="7">
        <v>500</v>
      </c>
      <c r="E7" s="30">
        <v>17</v>
      </c>
      <c r="F7" s="8">
        <v>50</v>
      </c>
      <c r="G7" s="31">
        <f t="shared" ref="G7:G17" si="0">(F7*E7)/D7</f>
        <v>1.7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119</v>
      </c>
      <c r="B8" s="140"/>
      <c r="C8" s="141"/>
      <c r="D8" s="7">
        <v>1500</v>
      </c>
      <c r="E8" s="30">
        <v>21</v>
      </c>
      <c r="F8" s="8">
        <v>30</v>
      </c>
      <c r="G8" s="31">
        <f t="shared" si="0"/>
        <v>0.42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/>
      <c r="B9" s="140"/>
      <c r="C9" s="141"/>
      <c r="D9" s="7">
        <v>1</v>
      </c>
      <c r="E9" s="8"/>
      <c r="F9" s="8"/>
      <c r="G9" s="31">
        <f t="shared" si="0"/>
        <v>0</v>
      </c>
      <c r="H9" s="4"/>
      <c r="J9" s="4"/>
      <c r="K9" s="5"/>
    </row>
    <row r="10" spans="1:14" ht="15" customHeight="1" x14ac:dyDescent="0.25">
      <c r="A10" s="139" t="s">
        <v>106</v>
      </c>
      <c r="B10" s="140"/>
      <c r="C10" s="141"/>
      <c r="D10" s="7">
        <v>100</v>
      </c>
      <c r="E10" s="30">
        <v>5</v>
      </c>
      <c r="F10" s="8">
        <v>1</v>
      </c>
      <c r="G10" s="31">
        <f t="shared" si="0"/>
        <v>0.05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79</v>
      </c>
      <c r="B11" s="140"/>
      <c r="C11" s="141"/>
      <c r="D11" s="7">
        <v>1000</v>
      </c>
      <c r="E11" s="30">
        <v>5</v>
      </c>
      <c r="F11" s="8">
        <v>150</v>
      </c>
      <c r="G11" s="31">
        <f t="shared" si="0"/>
        <v>0.75</v>
      </c>
      <c r="H11" s="4"/>
      <c r="I11" s="21" t="s">
        <v>20</v>
      </c>
      <c r="J11" s="22"/>
      <c r="K11" s="22"/>
      <c r="L11" s="23">
        <f>K7*J3</f>
        <v>0.66111111111111109</v>
      </c>
    </row>
    <row r="12" spans="1:14" ht="15" customHeight="1" x14ac:dyDescent="0.25">
      <c r="A12" s="139" t="s">
        <v>120</v>
      </c>
      <c r="B12" s="140"/>
      <c r="C12" s="141"/>
      <c r="D12" s="7">
        <v>100</v>
      </c>
      <c r="E12" s="30">
        <v>5</v>
      </c>
      <c r="F12" s="8">
        <v>1</v>
      </c>
      <c r="G12" s="31">
        <f t="shared" si="0"/>
        <v>0.05</v>
      </c>
      <c r="H12" s="4"/>
      <c r="I12" s="24" t="s">
        <v>22</v>
      </c>
      <c r="J12" s="4"/>
      <c r="K12" s="4"/>
      <c r="L12" s="25">
        <f>G18</f>
        <v>5.6086991869918688</v>
      </c>
    </row>
    <row r="13" spans="1:14" ht="15" customHeight="1" x14ac:dyDescent="0.25">
      <c r="A13" s="139" t="s">
        <v>287</v>
      </c>
      <c r="B13" s="140"/>
      <c r="C13" s="141"/>
      <c r="D13" s="7">
        <v>900</v>
      </c>
      <c r="E13" s="8">
        <v>31.6</v>
      </c>
      <c r="F13" s="8">
        <v>30</v>
      </c>
      <c r="G13" s="31">
        <f t="shared" si="0"/>
        <v>1.0533333333333332</v>
      </c>
      <c r="H13" s="4"/>
      <c r="I13" s="26" t="s">
        <v>24</v>
      </c>
      <c r="J13" s="27"/>
      <c r="K13" s="27"/>
      <c r="L13" s="28">
        <f>K8*J3</f>
        <v>2.8409090909090913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9.1107193890120719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28</v>
      </c>
      <c r="J15" s="6"/>
      <c r="K15" s="6"/>
      <c r="L15" s="20">
        <f>L14*1</f>
        <v>9.1107193890120719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18.221438778024144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SUM(G6:G13)</f>
        <v>5.6086991869918688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N32"/>
  <sheetViews>
    <sheetView showGridLines="0" workbookViewId="0">
      <selection activeCell="E11" sqref="E11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121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65</v>
      </c>
      <c r="F6" s="8">
        <v>16</v>
      </c>
      <c r="G6" s="31">
        <f>(F6*E6)/D6</f>
        <v>0.50731707317073171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122</v>
      </c>
      <c r="B7" s="140"/>
      <c r="C7" s="141"/>
      <c r="D7" s="7">
        <v>500</v>
      </c>
      <c r="E7" s="30">
        <v>16</v>
      </c>
      <c r="F7" s="8">
        <v>30</v>
      </c>
      <c r="G7" s="31">
        <f>(F7*E7)/D7</f>
        <v>0.96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123</v>
      </c>
      <c r="B8" s="140"/>
      <c r="C8" s="141"/>
      <c r="D8" s="7">
        <v>244</v>
      </c>
      <c r="E8" s="30">
        <v>15.77</v>
      </c>
      <c r="F8" s="8">
        <v>30</v>
      </c>
      <c r="G8" s="31"/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124</v>
      </c>
      <c r="B9" s="140"/>
      <c r="C9" s="141"/>
      <c r="D9" s="7">
        <v>12</v>
      </c>
      <c r="E9" s="8">
        <v>5</v>
      </c>
      <c r="F9" s="8">
        <v>1</v>
      </c>
      <c r="G9" s="31">
        <f t="shared" ref="G9:G10" si="0">(F9*E9)/D9</f>
        <v>0.41666666666666669</v>
      </c>
      <c r="H9" s="4"/>
      <c r="J9" s="4"/>
      <c r="K9" s="5"/>
    </row>
    <row r="10" spans="1:14" ht="15" customHeight="1" x14ac:dyDescent="0.25">
      <c r="A10" s="139" t="s">
        <v>125</v>
      </c>
      <c r="B10" s="140"/>
      <c r="C10" s="141"/>
      <c r="D10" s="7">
        <v>800</v>
      </c>
      <c r="E10" s="8">
        <v>31.6</v>
      </c>
      <c r="F10" s="8">
        <v>50</v>
      </c>
      <c r="G10" s="31">
        <f t="shared" si="0"/>
        <v>1.9750000000000001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 t="e">
        <f t="shared" ref="G11:G17" si="1">(F11*E11)/D11</f>
        <v>#DIV/0!</v>
      </c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 t="e">
        <f t="shared" si="1"/>
        <v>#DIV/0!</v>
      </c>
      <c r="H12" s="4"/>
      <c r="I12" s="24" t="s">
        <v>22</v>
      </c>
      <c r="J12" s="4"/>
      <c r="K12" s="4"/>
      <c r="L12" s="25">
        <f>G18</f>
        <v>3.8589837398373987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 t="e">
        <f t="shared" si="1"/>
        <v>#DIV/0!</v>
      </c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 t="e">
        <f t="shared" si="1"/>
        <v>#DIV/0!</v>
      </c>
      <c r="H14" s="4"/>
      <c r="I14" s="73" t="s">
        <v>26</v>
      </c>
      <c r="J14" s="74"/>
      <c r="K14" s="74"/>
      <c r="L14" s="75">
        <f>SUM(L11:L13)</f>
        <v>5.6099938408475003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 t="e">
        <f t="shared" si="1"/>
        <v>#DIV/0!</v>
      </c>
      <c r="H15" s="4"/>
      <c r="I15" s="3" t="s">
        <v>28</v>
      </c>
      <c r="J15" s="6"/>
      <c r="K15" s="6"/>
      <c r="L15" s="20">
        <f>L14*1</f>
        <v>5.6099938408475003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1"/>
        <v>0</v>
      </c>
      <c r="H16" s="4"/>
      <c r="I16" s="76" t="s">
        <v>29</v>
      </c>
      <c r="J16" s="77"/>
      <c r="K16" s="78"/>
      <c r="L16" s="79">
        <f>SUM(L14+L15)</f>
        <v>11.219987681695001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1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3.8589837398373987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CD3C-7865-4BC6-888C-C657C5225CCE}">
  <sheetPr>
    <tabColor rgb="FFC00000"/>
  </sheetPr>
  <dimension ref="A1:N32"/>
  <sheetViews>
    <sheetView showGridLines="0" workbookViewId="0">
      <selection activeCell="E12" sqref="E12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332</v>
      </c>
      <c r="C3" s="144"/>
      <c r="D3" s="145"/>
      <c r="E3" s="3" t="s">
        <v>3</v>
      </c>
      <c r="F3" s="112">
        <v>900</v>
      </c>
      <c r="G3" s="9" t="s">
        <v>306</v>
      </c>
      <c r="H3" s="3" t="s">
        <v>4</v>
      </c>
      <c r="I3" s="6"/>
      <c r="J3" s="9">
        <v>180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14</v>
      </c>
      <c r="B6" s="140"/>
      <c r="C6" s="141"/>
      <c r="D6" s="7">
        <v>5000</v>
      </c>
      <c r="E6" s="8">
        <v>20</v>
      </c>
      <c r="F6" s="8">
        <v>500</v>
      </c>
      <c r="G6" s="31">
        <f>(F6*E6)/D6</f>
        <v>2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</v>
      </c>
      <c r="B7" s="140"/>
      <c r="C7" s="141"/>
      <c r="D7" s="7">
        <v>3000</v>
      </c>
      <c r="E7" s="8">
        <v>45</v>
      </c>
      <c r="F7" s="8">
        <v>100</v>
      </c>
      <c r="G7" s="31">
        <f t="shared" ref="G7:G17" si="0">(F7*E7)/D7</f>
        <v>1.5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298</v>
      </c>
      <c r="B8" s="140"/>
      <c r="C8" s="141"/>
      <c r="D8" s="7">
        <v>200</v>
      </c>
      <c r="E8" s="8">
        <v>10</v>
      </c>
      <c r="F8" s="8">
        <v>200</v>
      </c>
      <c r="G8" s="31">
        <f t="shared" si="0"/>
        <v>10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193</v>
      </c>
      <c r="B9" s="140"/>
      <c r="C9" s="141"/>
      <c r="D9" s="7">
        <v>30</v>
      </c>
      <c r="E9" s="8">
        <v>3.19</v>
      </c>
      <c r="F9" s="8">
        <v>5</v>
      </c>
      <c r="G9" s="31">
        <f t="shared" si="0"/>
        <v>0.53166666666666662</v>
      </c>
      <c r="H9" s="4"/>
      <c r="J9" s="4"/>
      <c r="K9" s="5"/>
    </row>
    <row r="10" spans="1:14" ht="15" customHeight="1" x14ac:dyDescent="0.25">
      <c r="A10" s="139" t="s">
        <v>12</v>
      </c>
      <c r="B10" s="140"/>
      <c r="C10" s="141"/>
      <c r="D10" s="7">
        <v>1000</v>
      </c>
      <c r="E10" s="8">
        <v>4.5</v>
      </c>
      <c r="F10" s="8">
        <v>180</v>
      </c>
      <c r="G10" s="31">
        <f t="shared" si="0"/>
        <v>0.81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106</v>
      </c>
      <c r="B11" s="140"/>
      <c r="C11" s="141"/>
      <c r="D11" s="7">
        <v>50</v>
      </c>
      <c r="E11" s="8">
        <v>6</v>
      </c>
      <c r="F11" s="8">
        <v>20</v>
      </c>
      <c r="G11" s="31">
        <f t="shared" si="0"/>
        <v>2.4</v>
      </c>
      <c r="H11" s="4"/>
      <c r="I11" s="21" t="s">
        <v>20</v>
      </c>
      <c r="J11" s="22"/>
      <c r="K11" s="22"/>
      <c r="L11" s="23">
        <f>K7*J3</f>
        <v>3.9666666666666663</v>
      </c>
    </row>
    <row r="12" spans="1:14" ht="15" customHeight="1" x14ac:dyDescent="0.25">
      <c r="A12" s="139" t="s">
        <v>303</v>
      </c>
      <c r="B12" s="140"/>
      <c r="C12" s="141"/>
      <c r="D12" s="7">
        <v>10</v>
      </c>
      <c r="E12" s="8">
        <v>12</v>
      </c>
      <c r="F12" s="8">
        <v>1</v>
      </c>
      <c r="G12" s="31">
        <f t="shared" si="0"/>
        <v>1.2</v>
      </c>
      <c r="H12" s="4"/>
      <c r="I12" s="24" t="s">
        <v>22</v>
      </c>
      <c r="J12" s="4"/>
      <c r="K12" s="4"/>
      <c r="L12" s="25">
        <f>G18</f>
        <v>30.861666666666668</v>
      </c>
    </row>
    <row r="13" spans="1:14" ht="15" customHeight="1" x14ac:dyDescent="0.25">
      <c r="A13" s="139" t="s">
        <v>184</v>
      </c>
      <c r="B13" s="140"/>
      <c r="C13" s="141"/>
      <c r="D13" s="7">
        <v>200</v>
      </c>
      <c r="E13" s="8">
        <v>43</v>
      </c>
      <c r="F13" s="8">
        <v>20</v>
      </c>
      <c r="G13" s="31">
        <f t="shared" si="0"/>
        <v>4.3</v>
      </c>
      <c r="H13" s="4"/>
      <c r="I13" s="26" t="s">
        <v>24</v>
      </c>
      <c r="J13" s="27"/>
      <c r="K13" s="27"/>
      <c r="L13" s="28">
        <f>K8*J3</f>
        <v>17.045454545454547</v>
      </c>
    </row>
    <row r="14" spans="1:14" ht="15" customHeight="1" x14ac:dyDescent="0.25">
      <c r="A14" s="139" t="s">
        <v>143</v>
      </c>
      <c r="B14" s="140"/>
      <c r="C14" s="141"/>
      <c r="D14" s="7">
        <v>1000</v>
      </c>
      <c r="E14" s="8">
        <v>100</v>
      </c>
      <c r="F14" s="8">
        <v>20</v>
      </c>
      <c r="G14" s="31">
        <f t="shared" si="0"/>
        <v>2</v>
      </c>
      <c r="H14" s="4"/>
      <c r="I14" s="73" t="s">
        <v>26</v>
      </c>
      <c r="J14" s="74"/>
      <c r="K14" s="74"/>
      <c r="L14" s="75">
        <f>SUM(L11:L13)</f>
        <v>51.87378787878788</v>
      </c>
    </row>
    <row r="15" spans="1:14" ht="15" customHeight="1" x14ac:dyDescent="0.25">
      <c r="A15" s="139" t="s">
        <v>79</v>
      </c>
      <c r="B15" s="140"/>
      <c r="C15" s="141"/>
      <c r="D15" s="7">
        <v>10000</v>
      </c>
      <c r="E15" s="8">
        <v>14</v>
      </c>
      <c r="F15" s="8">
        <v>3800</v>
      </c>
      <c r="G15" s="31">
        <f t="shared" si="0"/>
        <v>5.32</v>
      </c>
      <c r="H15" s="4"/>
      <c r="I15" s="3" t="s">
        <v>28</v>
      </c>
      <c r="J15" s="6"/>
      <c r="K15" s="6"/>
      <c r="L15" s="20">
        <f>L14*0.3</f>
        <v>15.562136363636363</v>
      </c>
    </row>
    <row r="16" spans="1:14" ht="15" customHeight="1" x14ac:dyDescent="0.25">
      <c r="A16" s="139" t="s">
        <v>317</v>
      </c>
      <c r="B16" s="140"/>
      <c r="C16" s="141"/>
      <c r="D16" s="7">
        <v>100</v>
      </c>
      <c r="E16" s="8">
        <v>4</v>
      </c>
      <c r="F16" s="8">
        <v>20</v>
      </c>
      <c r="G16" s="31">
        <f t="shared" si="0"/>
        <v>0.8</v>
      </c>
      <c r="H16" s="4"/>
      <c r="I16" s="3" t="s">
        <v>32</v>
      </c>
      <c r="J16" s="6"/>
      <c r="K16" s="6"/>
      <c r="L16" s="124">
        <f>L14*0.5</f>
        <v>25.93689393939394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51.87378787878788</v>
      </c>
    </row>
    <row r="18" spans="1:12" ht="15" customHeight="1" x14ac:dyDescent="0.25">
      <c r="E18" s="10" t="s">
        <v>31</v>
      </c>
      <c r="F18" s="11"/>
      <c r="G18" s="12">
        <f>SUM(G6:G17)</f>
        <v>30.861666666666668</v>
      </c>
      <c r="H18" s="4"/>
    </row>
    <row r="19" spans="1:12" ht="15" customHeight="1" x14ac:dyDescent="0.25">
      <c r="E19" s="10" t="s">
        <v>47</v>
      </c>
      <c r="F19" s="11"/>
      <c r="G19" s="12">
        <f>G18/F3</f>
        <v>3.429074074074074E-2</v>
      </c>
      <c r="H19" s="4"/>
      <c r="I19" s="76" t="s">
        <v>34</v>
      </c>
      <c r="J19" s="77"/>
      <c r="K19" s="78"/>
      <c r="L19" s="79">
        <f>L14+L15</f>
        <v>67.43592424242425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77.81068181818182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103.74757575757576</v>
      </c>
    </row>
    <row r="22" spans="1:12" ht="15" customHeight="1" x14ac:dyDescent="0.25">
      <c r="B22" s="4" t="s">
        <v>333</v>
      </c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G18+'Biscoitos estrelinha Natal'!L1</f>
        <v>30.861666666666668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3.429074074074074E-2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774D-9B05-4472-9B88-C98788804ED2}">
  <sheetPr>
    <tabColor rgb="FFC00000"/>
  </sheetPr>
  <dimension ref="A1:N32"/>
  <sheetViews>
    <sheetView showGridLines="0" workbookViewId="0">
      <selection activeCell="J4" sqref="J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328</v>
      </c>
      <c r="C3" s="144"/>
      <c r="D3" s="145"/>
      <c r="E3" s="3" t="s">
        <v>3</v>
      </c>
      <c r="F3" s="112" t="s">
        <v>329</v>
      </c>
      <c r="G3" s="9">
        <v>20</v>
      </c>
      <c r="H3" s="3" t="s">
        <v>4</v>
      </c>
      <c r="I3" s="6"/>
      <c r="J3" s="9">
        <v>100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14</v>
      </c>
      <c r="B6" s="140"/>
      <c r="C6" s="141"/>
      <c r="D6" s="7">
        <v>5000</v>
      </c>
      <c r="E6" s="8">
        <v>20</v>
      </c>
      <c r="F6" s="8">
        <v>125</v>
      </c>
      <c r="G6" s="31">
        <f>(F6*E6)/D6</f>
        <v>0.5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</v>
      </c>
      <c r="B7" s="140"/>
      <c r="C7" s="141"/>
      <c r="D7" s="7">
        <v>3000</v>
      </c>
      <c r="E7" s="8">
        <v>45</v>
      </c>
      <c r="F7" s="8">
        <v>50</v>
      </c>
      <c r="G7" s="31">
        <f t="shared" ref="G7:G18" si="0">(F7*E7)/D7</f>
        <v>0.75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298</v>
      </c>
      <c r="B8" s="140"/>
      <c r="C8" s="141"/>
      <c r="D8" s="7">
        <v>200</v>
      </c>
      <c r="E8" s="8">
        <v>10</v>
      </c>
      <c r="F8" s="8">
        <v>30</v>
      </c>
      <c r="G8" s="31">
        <f t="shared" si="0"/>
        <v>1.5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193</v>
      </c>
      <c r="B9" s="140"/>
      <c r="C9" s="141"/>
      <c r="D9" s="7">
        <v>30</v>
      </c>
      <c r="E9" s="8">
        <v>3.19</v>
      </c>
      <c r="F9" s="8">
        <v>5</v>
      </c>
      <c r="G9" s="31">
        <f t="shared" si="0"/>
        <v>0.53166666666666662</v>
      </c>
      <c r="H9" s="4"/>
      <c r="J9" s="4"/>
      <c r="K9" s="5"/>
    </row>
    <row r="10" spans="1:14" ht="15" customHeight="1" x14ac:dyDescent="0.25">
      <c r="A10" s="139" t="s">
        <v>12</v>
      </c>
      <c r="B10" s="140"/>
      <c r="C10" s="141"/>
      <c r="D10" s="7">
        <v>1000</v>
      </c>
      <c r="E10" s="8">
        <v>4.5</v>
      </c>
      <c r="F10" s="8">
        <v>70</v>
      </c>
      <c r="G10" s="31">
        <f t="shared" si="0"/>
        <v>0.315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330</v>
      </c>
      <c r="B11" s="140"/>
      <c r="C11" s="141"/>
      <c r="D11" s="7">
        <v>900</v>
      </c>
      <c r="E11" s="8">
        <v>9</v>
      </c>
      <c r="F11" s="8">
        <v>10</v>
      </c>
      <c r="G11" s="31">
        <f t="shared" si="0"/>
        <v>0.1</v>
      </c>
      <c r="H11" s="4"/>
      <c r="I11" s="21" t="s">
        <v>20</v>
      </c>
      <c r="J11" s="22"/>
      <c r="K11" s="22"/>
      <c r="L11" s="23">
        <f>K7*J3</f>
        <v>2.2037037037037037</v>
      </c>
    </row>
    <row r="12" spans="1:14" ht="15" customHeight="1" x14ac:dyDescent="0.25">
      <c r="A12" s="139" t="s">
        <v>303</v>
      </c>
      <c r="B12" s="140"/>
      <c r="C12" s="141"/>
      <c r="D12" s="7">
        <v>10</v>
      </c>
      <c r="E12" s="8">
        <v>12</v>
      </c>
      <c r="F12" s="8">
        <v>1</v>
      </c>
      <c r="G12" s="31">
        <f t="shared" si="0"/>
        <v>1.2</v>
      </c>
      <c r="H12" s="4"/>
      <c r="I12" s="24" t="s">
        <v>22</v>
      </c>
      <c r="J12" s="4"/>
      <c r="K12" s="4"/>
      <c r="L12" s="25">
        <f>G22</f>
        <v>26.204715447154474</v>
      </c>
    </row>
    <row r="13" spans="1:14" ht="15" customHeight="1" x14ac:dyDescent="0.25">
      <c r="A13" s="139" t="s">
        <v>184</v>
      </c>
      <c r="B13" s="140"/>
      <c r="C13" s="141"/>
      <c r="D13" s="7">
        <v>200</v>
      </c>
      <c r="E13" s="8">
        <v>43</v>
      </c>
      <c r="F13" s="8">
        <v>25</v>
      </c>
      <c r="G13" s="31">
        <f t="shared" si="0"/>
        <v>5.375</v>
      </c>
      <c r="H13" s="4"/>
      <c r="I13" s="26" t="s">
        <v>24</v>
      </c>
      <c r="J13" s="27"/>
      <c r="K13" s="27"/>
      <c r="L13" s="28">
        <f>K8*J3</f>
        <v>9.4696969696969706</v>
      </c>
    </row>
    <row r="14" spans="1:14" ht="15" customHeight="1" x14ac:dyDescent="0.25">
      <c r="A14" s="139" t="s">
        <v>143</v>
      </c>
      <c r="B14" s="140"/>
      <c r="C14" s="141"/>
      <c r="D14" s="7">
        <v>1000</v>
      </c>
      <c r="E14" s="8">
        <v>100</v>
      </c>
      <c r="F14" s="8">
        <v>25</v>
      </c>
      <c r="G14" s="31">
        <f t="shared" si="0"/>
        <v>2.5</v>
      </c>
      <c r="H14" s="4"/>
      <c r="I14" s="73" t="s">
        <v>26</v>
      </c>
      <c r="J14" s="74"/>
      <c r="K14" s="74"/>
      <c r="L14" s="75">
        <f>SUM(L11:L13)</f>
        <v>37.878116120555148</v>
      </c>
    </row>
    <row r="15" spans="1:14" ht="15" customHeight="1" x14ac:dyDescent="0.25">
      <c r="A15" s="139" t="s">
        <v>79</v>
      </c>
      <c r="B15" s="140"/>
      <c r="C15" s="141"/>
      <c r="D15" s="7">
        <v>10000</v>
      </c>
      <c r="E15" s="8">
        <v>14</v>
      </c>
      <c r="F15" s="8">
        <v>4750</v>
      </c>
      <c r="G15" s="31">
        <f t="shared" si="0"/>
        <v>6.65</v>
      </c>
      <c r="H15" s="4"/>
      <c r="I15" s="3" t="s">
        <v>28</v>
      </c>
      <c r="J15" s="6"/>
      <c r="K15" s="6"/>
      <c r="L15" s="20">
        <f>L14*0.3</f>
        <v>11.363434836166544</v>
      </c>
    </row>
    <row r="16" spans="1:14" ht="15" customHeight="1" x14ac:dyDescent="0.25">
      <c r="A16" s="139" t="s">
        <v>317</v>
      </c>
      <c r="B16" s="140"/>
      <c r="C16" s="141"/>
      <c r="D16" s="7">
        <v>100</v>
      </c>
      <c r="E16" s="8">
        <v>4</v>
      </c>
      <c r="F16" s="8">
        <v>25</v>
      </c>
      <c r="G16" s="31">
        <f t="shared" si="0"/>
        <v>1</v>
      </c>
      <c r="H16" s="4"/>
      <c r="I16" s="3" t="s">
        <v>32</v>
      </c>
      <c r="J16" s="6"/>
      <c r="K16" s="6"/>
      <c r="L16" s="124">
        <f>L14*0.5</f>
        <v>18.939058060277574</v>
      </c>
    </row>
    <row r="17" spans="1:12" ht="15" customHeight="1" x14ac:dyDescent="0.25">
      <c r="A17" s="139" t="s">
        <v>81</v>
      </c>
      <c r="B17" s="140"/>
      <c r="C17" s="141"/>
      <c r="D17" s="7">
        <v>1000</v>
      </c>
      <c r="E17" s="8">
        <v>5</v>
      </c>
      <c r="F17" s="8">
        <v>125</v>
      </c>
      <c r="G17" s="31">
        <f t="shared" si="0"/>
        <v>0.625</v>
      </c>
      <c r="H17" s="4"/>
      <c r="I17" s="3" t="s">
        <v>33</v>
      </c>
      <c r="J17" s="6"/>
      <c r="K17" s="6"/>
      <c r="L17" s="20">
        <f>L14*1</f>
        <v>37.878116120555148</v>
      </c>
    </row>
    <row r="18" spans="1:12" ht="15" customHeight="1" x14ac:dyDescent="0.25">
      <c r="B18" s="2" t="s">
        <v>331</v>
      </c>
      <c r="D18" s="2">
        <v>2050</v>
      </c>
      <c r="E18" s="2">
        <v>80</v>
      </c>
      <c r="F18" s="2">
        <v>125</v>
      </c>
      <c r="G18" s="128">
        <f>(F18*E18)/D18</f>
        <v>4.8780487804878048</v>
      </c>
      <c r="H18" s="4"/>
    </row>
    <row r="19" spans="1:12" ht="15" customHeight="1" x14ac:dyDescent="0.25">
      <c r="B19" s="2" t="s">
        <v>17</v>
      </c>
      <c r="D19" s="2">
        <v>250</v>
      </c>
      <c r="E19" s="2">
        <v>10</v>
      </c>
      <c r="F19" s="2">
        <v>7</v>
      </c>
      <c r="G19" s="2">
        <f>(F19*E19)/D19</f>
        <v>0.28000000000000003</v>
      </c>
      <c r="H19" s="4"/>
      <c r="I19" s="76" t="s">
        <v>34</v>
      </c>
      <c r="J19" s="77"/>
      <c r="K19" s="78"/>
      <c r="L19" s="79">
        <f>L14+L15</f>
        <v>49.241550956721696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56.817174180832723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75.756232241110297</v>
      </c>
    </row>
    <row r="22" spans="1:12" ht="15" customHeight="1" x14ac:dyDescent="0.25">
      <c r="B22" s="4"/>
      <c r="C22" s="4"/>
      <c r="D22" s="4"/>
      <c r="E22" s="10" t="s">
        <v>31</v>
      </c>
      <c r="F22" s="11"/>
      <c r="G22" s="12">
        <f>SUM(G6:G19)</f>
        <v>26.204715447154474</v>
      </c>
      <c r="H22" s="4"/>
      <c r="I22" s="4"/>
      <c r="J22" s="4"/>
      <c r="K22" s="4"/>
    </row>
    <row r="23" spans="1:12" ht="15" customHeight="1" x14ac:dyDescent="0.25">
      <c r="C23" s="4"/>
      <c r="D23" s="4"/>
      <c r="E23" s="10" t="s">
        <v>47</v>
      </c>
      <c r="F23" s="11"/>
      <c r="G23" s="12" t="e">
        <f>G22/F3</f>
        <v>#VALUE!</v>
      </c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G22+'Mini cake donuts'!L1</f>
        <v>26.204715447154474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 t="e">
        <f>L31/F3</f>
        <v>#VALUE!</v>
      </c>
    </row>
  </sheetData>
  <mergeCells count="18">
    <mergeCell ref="A13:C13"/>
    <mergeCell ref="A14:C14"/>
    <mergeCell ref="A15:C15"/>
    <mergeCell ref="A16:C16"/>
    <mergeCell ref="A17:C17"/>
    <mergeCell ref="A8:C8"/>
    <mergeCell ref="I8:J8"/>
    <mergeCell ref="A9:C9"/>
    <mergeCell ref="A10:C10"/>
    <mergeCell ref="A11:C11"/>
    <mergeCell ref="A12:C12"/>
    <mergeCell ref="A1:N1"/>
    <mergeCell ref="B3:D3"/>
    <mergeCell ref="A5:C5"/>
    <mergeCell ref="A6:C6"/>
    <mergeCell ref="I6:K6"/>
    <mergeCell ref="A7:C7"/>
    <mergeCell ref="I7:J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31B5-3B59-7C46-811D-8B337E870E11}">
  <sheetPr>
    <tabColor rgb="FFC00000"/>
  </sheetPr>
  <dimension ref="A1:N32"/>
  <sheetViews>
    <sheetView showGridLines="0" tabSelected="1" workbookViewId="0">
      <selection activeCell="J4" sqref="J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311</v>
      </c>
      <c r="C3" s="144"/>
      <c r="D3" s="145"/>
      <c r="E3" s="3" t="s">
        <v>3</v>
      </c>
      <c r="F3" s="112"/>
      <c r="G3" s="9" t="s">
        <v>314</v>
      </c>
      <c r="H3" s="3" t="s">
        <v>4</v>
      </c>
      <c r="I3" s="6"/>
      <c r="J3" s="9">
        <v>300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14</v>
      </c>
      <c r="B6" s="140"/>
      <c r="C6" s="141"/>
      <c r="D6" s="7">
        <v>5000</v>
      </c>
      <c r="E6" s="8">
        <v>20</v>
      </c>
      <c r="F6" s="8">
        <v>500</v>
      </c>
      <c r="G6" s="31">
        <f>(F6*E6)/D6</f>
        <v>2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10</v>
      </c>
      <c r="B7" s="140"/>
      <c r="C7" s="141"/>
      <c r="D7" s="7">
        <v>3000</v>
      </c>
      <c r="E7" s="8">
        <v>45</v>
      </c>
      <c r="F7" s="8">
        <v>50</v>
      </c>
      <c r="G7" s="31">
        <f t="shared" ref="G7:G17" si="0">(F7*E7)/D7</f>
        <v>0.75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298</v>
      </c>
      <c r="B8" s="140"/>
      <c r="C8" s="141"/>
      <c r="D8" s="7">
        <v>200</v>
      </c>
      <c r="E8" s="8">
        <v>10</v>
      </c>
      <c r="F8" s="8">
        <v>100</v>
      </c>
      <c r="G8" s="31">
        <f t="shared" si="0"/>
        <v>5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310</v>
      </c>
      <c r="B9" s="140"/>
      <c r="C9" s="141"/>
      <c r="D9" s="7">
        <v>100</v>
      </c>
      <c r="E9" s="8">
        <v>5</v>
      </c>
      <c r="F9" s="8">
        <v>2</v>
      </c>
      <c r="G9" s="31">
        <f t="shared" si="0"/>
        <v>0.1</v>
      </c>
      <c r="H9" s="4"/>
      <c r="J9" s="4"/>
      <c r="K9" s="5"/>
    </row>
    <row r="10" spans="1:14" ht="15" customHeight="1" x14ac:dyDescent="0.25">
      <c r="A10" s="139" t="s">
        <v>312</v>
      </c>
      <c r="B10" s="140"/>
      <c r="C10" s="141"/>
      <c r="D10" s="7">
        <v>1000</v>
      </c>
      <c r="E10" s="8">
        <v>12</v>
      </c>
      <c r="F10" s="8">
        <v>80</v>
      </c>
      <c r="G10" s="31">
        <f t="shared" si="0"/>
        <v>0.96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299</v>
      </c>
      <c r="B11" s="140"/>
      <c r="C11" s="141"/>
      <c r="D11" s="7">
        <v>500</v>
      </c>
      <c r="E11" s="8">
        <v>10</v>
      </c>
      <c r="F11" s="8">
        <v>200</v>
      </c>
      <c r="G11" s="31">
        <f t="shared" si="0"/>
        <v>4</v>
      </c>
      <c r="H11" s="4"/>
      <c r="I11" s="21" t="s">
        <v>20</v>
      </c>
      <c r="J11" s="22"/>
      <c r="K11" s="22"/>
      <c r="L11" s="23">
        <f>K7*J3</f>
        <v>6.6111111111111107</v>
      </c>
    </row>
    <row r="12" spans="1:14" ht="15" customHeight="1" x14ac:dyDescent="0.25">
      <c r="A12" s="139" t="s">
        <v>316</v>
      </c>
      <c r="B12" s="140"/>
      <c r="C12" s="141"/>
      <c r="D12" s="7">
        <v>100</v>
      </c>
      <c r="E12" s="8">
        <v>10</v>
      </c>
      <c r="F12" s="8">
        <v>20</v>
      </c>
      <c r="G12" s="31">
        <f t="shared" si="0"/>
        <v>2</v>
      </c>
      <c r="H12" s="4"/>
      <c r="I12" s="24" t="s">
        <v>22</v>
      </c>
      <c r="J12" s="4"/>
      <c r="K12" s="4"/>
      <c r="L12" s="25">
        <f>G23</f>
        <v>42.129999999999995</v>
      </c>
    </row>
    <row r="13" spans="1:14" ht="15" customHeight="1" x14ac:dyDescent="0.25">
      <c r="A13" s="139" t="s">
        <v>302</v>
      </c>
      <c r="B13" s="140"/>
      <c r="C13" s="141"/>
      <c r="D13" s="7">
        <v>10000</v>
      </c>
      <c r="E13" s="8">
        <v>14</v>
      </c>
      <c r="F13" s="8">
        <v>10000</v>
      </c>
      <c r="G13" s="31">
        <f t="shared" si="0"/>
        <v>14</v>
      </c>
      <c r="H13" s="4"/>
      <c r="I13" s="26" t="s">
        <v>24</v>
      </c>
      <c r="J13" s="27"/>
      <c r="K13" s="27"/>
      <c r="L13" s="28">
        <f>K8*J3</f>
        <v>28.409090909090914</v>
      </c>
    </row>
    <row r="14" spans="1:14" ht="15" customHeight="1" x14ac:dyDescent="0.25">
      <c r="A14" s="139" t="s">
        <v>313</v>
      </c>
      <c r="B14" s="140"/>
      <c r="C14" s="141"/>
      <c r="D14" s="7">
        <v>250</v>
      </c>
      <c r="E14" s="8">
        <v>8</v>
      </c>
      <c r="F14" s="8">
        <v>160</v>
      </c>
      <c r="G14" s="31">
        <f t="shared" si="0"/>
        <v>5.12</v>
      </c>
      <c r="H14" s="4"/>
      <c r="I14" s="73" t="s">
        <v>26</v>
      </c>
      <c r="J14" s="74"/>
      <c r="K14" s="74"/>
      <c r="L14" s="75">
        <f>SUM(L11:L13)</f>
        <v>77.150202020202016</v>
      </c>
    </row>
    <row r="15" spans="1:14" ht="15" customHeight="1" x14ac:dyDescent="0.25">
      <c r="A15" s="139" t="s">
        <v>309</v>
      </c>
      <c r="B15" s="140"/>
      <c r="C15" s="141"/>
      <c r="D15" s="7">
        <v>100</v>
      </c>
      <c r="E15" s="8">
        <v>5</v>
      </c>
      <c r="F15" s="8">
        <v>1</v>
      </c>
      <c r="G15" s="31">
        <f t="shared" si="0"/>
        <v>0.05</v>
      </c>
      <c r="H15" s="4"/>
      <c r="I15" s="3" t="s">
        <v>28</v>
      </c>
      <c r="J15" s="6"/>
      <c r="K15" s="6"/>
      <c r="L15" s="20">
        <f>L14*0.3</f>
        <v>23.145060606060603</v>
      </c>
    </row>
    <row r="16" spans="1:14" ht="15" customHeight="1" x14ac:dyDescent="0.25">
      <c r="A16" s="139" t="s">
        <v>307</v>
      </c>
      <c r="B16" s="140"/>
      <c r="C16" s="141"/>
      <c r="D16" s="7">
        <v>200</v>
      </c>
      <c r="E16" s="8">
        <v>10</v>
      </c>
      <c r="F16" s="8">
        <v>5</v>
      </c>
      <c r="G16" s="31">
        <f t="shared" si="0"/>
        <v>0.25</v>
      </c>
      <c r="H16" s="4"/>
      <c r="I16" s="3" t="s">
        <v>32</v>
      </c>
      <c r="J16" s="6"/>
      <c r="K16" s="6"/>
      <c r="L16" s="124">
        <f>L14*0.5</f>
        <v>38.575101010101008</v>
      </c>
    </row>
    <row r="17" spans="1:12" ht="15" customHeight="1" x14ac:dyDescent="0.25">
      <c r="A17" s="139" t="s">
        <v>308</v>
      </c>
      <c r="B17" s="140"/>
      <c r="C17" s="141"/>
      <c r="D17" s="7">
        <v>100</v>
      </c>
      <c r="E17" s="8">
        <v>50</v>
      </c>
      <c r="F17" s="8">
        <v>3</v>
      </c>
      <c r="G17" s="31">
        <f t="shared" si="0"/>
        <v>1.5</v>
      </c>
      <c r="H17" s="4"/>
      <c r="I17" s="3" t="s">
        <v>33</v>
      </c>
      <c r="J17" s="6"/>
      <c r="K17" s="6"/>
      <c r="L17" s="20">
        <f>L14*1</f>
        <v>77.150202020202016</v>
      </c>
    </row>
    <row r="18" spans="1:12" ht="15" customHeight="1" x14ac:dyDescent="0.25">
      <c r="B18" s="2" t="s">
        <v>315</v>
      </c>
      <c r="D18" s="2">
        <v>200</v>
      </c>
      <c r="E18" s="2">
        <v>43</v>
      </c>
      <c r="F18" s="2">
        <v>20</v>
      </c>
      <c r="G18" s="2">
        <v>4.2</v>
      </c>
      <c r="H18" s="4"/>
    </row>
    <row r="19" spans="1:12" ht="15" customHeight="1" x14ac:dyDescent="0.25">
      <c r="B19" s="2" t="s">
        <v>317</v>
      </c>
      <c r="D19" s="2">
        <v>100</v>
      </c>
      <c r="E19" s="2">
        <v>4</v>
      </c>
      <c r="F19" s="2">
        <v>20</v>
      </c>
      <c r="G19" s="2">
        <v>0.8</v>
      </c>
      <c r="H19" s="4"/>
      <c r="I19" s="76" t="s">
        <v>34</v>
      </c>
      <c r="J19" s="77"/>
      <c r="K19" s="78"/>
      <c r="L19" s="79">
        <f>L14+L15</f>
        <v>100.29526262626263</v>
      </c>
    </row>
    <row r="20" spans="1:12" ht="15" customHeight="1" x14ac:dyDescent="0.25">
      <c r="B20" s="2" t="s">
        <v>318</v>
      </c>
      <c r="D20" s="2">
        <v>10</v>
      </c>
      <c r="E20" s="2">
        <v>14</v>
      </c>
      <c r="F20" s="2">
        <v>1</v>
      </c>
      <c r="G20" s="2">
        <v>1.4</v>
      </c>
      <c r="H20" s="4"/>
      <c r="I20" s="116" t="s">
        <v>35</v>
      </c>
      <c r="J20" s="117"/>
      <c r="K20" s="118"/>
      <c r="L20" s="119">
        <f>L14+L16</f>
        <v>115.72530303030302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154.30040404040403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10" t="s">
        <v>31</v>
      </c>
      <c r="F23" s="11"/>
      <c r="G23" s="12">
        <f>SUM(G6:G21)</f>
        <v>42.129999999999995</v>
      </c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0" t="s">
        <v>47</v>
      </c>
      <c r="F24" s="11"/>
      <c r="G24" s="12" t="e">
        <f>G23/F3</f>
        <v>#DIV/0!</v>
      </c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G23+'Biscoitos de gengibre'!L1</f>
        <v>42.129999999999995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 t="e">
        <f>L31/F3</f>
        <v>#DIV/0!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B507-F455-4CFB-9CFF-D93FD2B652D1}">
  <sheetPr>
    <tabColor rgb="FFC00000"/>
  </sheetPr>
  <dimension ref="A1:N32"/>
  <sheetViews>
    <sheetView showGridLines="0" workbookViewId="0">
      <selection activeCell="D14" sqref="D1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319</v>
      </c>
      <c r="C3" s="144"/>
      <c r="D3" s="145"/>
      <c r="E3" s="3" t="s">
        <v>3</v>
      </c>
      <c r="F3" s="6"/>
      <c r="G3" s="9">
        <v>1</v>
      </c>
      <c r="H3" s="3" t="s">
        <v>4</v>
      </c>
      <c r="I3" s="6"/>
      <c r="J3" s="9">
        <v>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80</v>
      </c>
      <c r="F6" s="8">
        <v>22</v>
      </c>
      <c r="G6" s="31">
        <f>(F6*E6)/D6</f>
        <v>0.85853658536585364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122</v>
      </c>
      <c r="B7" s="140"/>
      <c r="C7" s="141"/>
      <c r="D7" s="7">
        <v>500</v>
      </c>
      <c r="E7" s="30">
        <v>18</v>
      </c>
      <c r="F7" s="8">
        <v>20</v>
      </c>
      <c r="G7" s="31">
        <f t="shared" ref="G7:G17" si="0">(F7*E7)/D7</f>
        <v>0.72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320</v>
      </c>
      <c r="B8" s="140"/>
      <c r="C8" s="141"/>
      <c r="D8" s="7">
        <v>2000</v>
      </c>
      <c r="E8" s="30">
        <v>92</v>
      </c>
      <c r="F8" s="8">
        <v>25</v>
      </c>
      <c r="G8" s="31">
        <f t="shared" si="0"/>
        <v>1.1499999999999999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184</v>
      </c>
      <c r="B9" s="140"/>
      <c r="C9" s="141"/>
      <c r="D9" s="7">
        <v>200</v>
      </c>
      <c r="E9" s="8">
        <v>43</v>
      </c>
      <c r="F9" s="8">
        <v>1</v>
      </c>
      <c r="G9" s="31">
        <f t="shared" si="0"/>
        <v>0.215</v>
      </c>
      <c r="H9" s="4"/>
      <c r="J9" s="4"/>
      <c r="K9" s="5"/>
    </row>
    <row r="10" spans="1:14" ht="15" customHeight="1" x14ac:dyDescent="0.25">
      <c r="A10" s="139" t="s">
        <v>143</v>
      </c>
      <c r="B10" s="140"/>
      <c r="C10" s="141"/>
      <c r="D10" s="7">
        <v>1000</v>
      </c>
      <c r="E10" s="8">
        <v>100</v>
      </c>
      <c r="F10" s="8">
        <v>1</v>
      </c>
      <c r="G10" s="31">
        <f t="shared" si="0"/>
        <v>0.1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317</v>
      </c>
      <c r="B11" s="140"/>
      <c r="C11" s="141"/>
      <c r="D11" s="7">
        <v>100</v>
      </c>
      <c r="E11" s="8">
        <v>4</v>
      </c>
      <c r="F11" s="8">
        <v>1</v>
      </c>
      <c r="G11" s="31">
        <f t="shared" si="0"/>
        <v>0.04</v>
      </c>
      <c r="H11" s="4"/>
      <c r="I11" s="21" t="s">
        <v>20</v>
      </c>
      <c r="J11" s="22"/>
      <c r="K11" s="22"/>
      <c r="L11" s="23">
        <f>K7*J3</f>
        <v>0.11018518518518518</v>
      </c>
    </row>
    <row r="12" spans="1:14" ht="15" customHeight="1" x14ac:dyDescent="0.25">
      <c r="A12" s="139" t="s">
        <v>303</v>
      </c>
      <c r="B12" s="140"/>
      <c r="C12" s="141"/>
      <c r="D12" s="7">
        <v>10</v>
      </c>
      <c r="E12" s="8">
        <v>12</v>
      </c>
      <c r="F12" s="8">
        <v>1</v>
      </c>
      <c r="G12" s="31"/>
      <c r="H12" s="4"/>
      <c r="I12" s="24" t="s">
        <v>22</v>
      </c>
      <c r="J12" s="4"/>
      <c r="K12" s="4"/>
      <c r="L12" s="25">
        <f>G18</f>
        <v>3.3495365853658536</v>
      </c>
    </row>
    <row r="13" spans="1:14" ht="15" customHeight="1" x14ac:dyDescent="0.25">
      <c r="A13" s="139" t="s">
        <v>321</v>
      </c>
      <c r="B13" s="140"/>
      <c r="C13" s="141"/>
      <c r="D13" s="7">
        <v>10000</v>
      </c>
      <c r="E13" s="8">
        <v>14</v>
      </c>
      <c r="F13" s="8">
        <v>190</v>
      </c>
      <c r="G13" s="31">
        <f t="shared" si="0"/>
        <v>0.26600000000000001</v>
      </c>
      <c r="H13" s="4"/>
      <c r="I13" s="26" t="s">
        <v>24</v>
      </c>
      <c r="J13" s="27"/>
      <c r="K13" s="27"/>
      <c r="L13" s="28">
        <f>K8*J3</f>
        <v>0.47348484848484856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3.9332066190358876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3.9332066190358876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SUM(L14+L15)</f>
        <v>7.8664132380717753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SUM(G6:G13)</f>
        <v>3.3495365853658536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4F1C-6EF9-4E6B-83FF-20325A188C43}">
  <sheetPr>
    <tabColor rgb="FFC00000"/>
  </sheetPr>
  <dimension ref="A1:N32"/>
  <sheetViews>
    <sheetView showGridLines="0" workbookViewId="0">
      <selection activeCell="J4" sqref="J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325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80</v>
      </c>
      <c r="F6" s="8">
        <v>30</v>
      </c>
      <c r="G6" s="31">
        <f>(F6*E6)/D6</f>
        <v>1.1707317073170731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75</v>
      </c>
      <c r="B7" s="140"/>
      <c r="C7" s="141"/>
      <c r="D7" s="7">
        <v>900</v>
      </c>
      <c r="E7" s="30">
        <v>18</v>
      </c>
      <c r="F7" s="8">
        <v>22</v>
      </c>
      <c r="G7" s="31">
        <f t="shared" ref="G7:G17" si="0">(F7*E7)/D7</f>
        <v>0.44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119</v>
      </c>
      <c r="B8" s="140"/>
      <c r="C8" s="141"/>
      <c r="D8" s="7">
        <v>1500</v>
      </c>
      <c r="E8" s="30">
        <v>21</v>
      </c>
      <c r="F8" s="8">
        <v>20</v>
      </c>
      <c r="G8" s="31">
        <f t="shared" si="0"/>
        <v>0.28000000000000003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106</v>
      </c>
      <c r="B9" s="140"/>
      <c r="C9" s="141"/>
      <c r="D9" s="7">
        <v>100</v>
      </c>
      <c r="E9" s="8">
        <v>5</v>
      </c>
      <c r="F9" s="8">
        <v>1</v>
      </c>
      <c r="G9" s="31">
        <f t="shared" si="0"/>
        <v>0.05</v>
      </c>
      <c r="H9" s="4"/>
      <c r="J9" s="4"/>
      <c r="K9" s="5"/>
    </row>
    <row r="10" spans="1:14" ht="15" customHeight="1" x14ac:dyDescent="0.25">
      <c r="A10" s="139" t="s">
        <v>143</v>
      </c>
      <c r="B10" s="140"/>
      <c r="C10" s="141"/>
      <c r="D10" s="7">
        <v>1000</v>
      </c>
      <c r="E10" s="8">
        <v>100</v>
      </c>
      <c r="F10" s="8">
        <v>1</v>
      </c>
      <c r="G10" s="31">
        <f t="shared" si="0"/>
        <v>0.1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133</v>
      </c>
      <c r="B11" s="140"/>
      <c r="C11" s="141"/>
      <c r="D11" s="7">
        <v>10</v>
      </c>
      <c r="E11" s="8">
        <v>9</v>
      </c>
      <c r="F11" s="8">
        <v>1</v>
      </c>
      <c r="G11" s="31">
        <f t="shared" si="0"/>
        <v>0.9</v>
      </c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 t="s">
        <v>79</v>
      </c>
      <c r="B12" s="140"/>
      <c r="C12" s="141"/>
      <c r="D12" s="7">
        <v>10000</v>
      </c>
      <c r="E12" s="8">
        <v>14</v>
      </c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2.040731707317073</v>
      </c>
    </row>
    <row r="13" spans="1:14" ht="15" customHeight="1" x14ac:dyDescent="0.25">
      <c r="A13" s="139" t="s">
        <v>184</v>
      </c>
      <c r="B13" s="140"/>
      <c r="C13" s="141"/>
      <c r="D13" s="7">
        <v>200</v>
      </c>
      <c r="E13" s="8">
        <v>43</v>
      </c>
      <c r="F13" s="8">
        <v>1</v>
      </c>
      <c r="G13" s="31">
        <f t="shared" si="0"/>
        <v>0.215</v>
      </c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 t="s">
        <v>296</v>
      </c>
      <c r="B14" s="140"/>
      <c r="C14" s="141"/>
      <c r="D14" s="7">
        <v>900</v>
      </c>
      <c r="E14" s="8">
        <v>30</v>
      </c>
      <c r="F14" s="8">
        <v>10</v>
      </c>
      <c r="G14" s="31">
        <f t="shared" si="0"/>
        <v>0.33333333333333331</v>
      </c>
      <c r="H14" s="4"/>
      <c r="I14" s="73" t="s">
        <v>26</v>
      </c>
      <c r="J14" s="74"/>
      <c r="K14" s="74"/>
      <c r="L14" s="75">
        <f>SUM(L11:L13)</f>
        <v>3.7917418083271741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33</v>
      </c>
      <c r="J15" s="6"/>
      <c r="K15" s="6"/>
      <c r="L15" s="20">
        <f>L14*1</f>
        <v>3.7917418083271741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7.5834836166543482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2.040731707317073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A554-33FA-40D3-8D09-C31C9EC4173E}">
  <sheetPr>
    <tabColor rgb="FFC00000"/>
  </sheetPr>
  <dimension ref="A1:N32"/>
  <sheetViews>
    <sheetView showGridLines="0" workbookViewId="0">
      <selection activeCell="J4" sqref="J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322</v>
      </c>
      <c r="C3" s="144"/>
      <c r="D3" s="145"/>
      <c r="E3" s="3" t="s">
        <v>3</v>
      </c>
      <c r="F3" s="6"/>
      <c r="G3" s="9">
        <v>1</v>
      </c>
      <c r="H3" s="3" t="s">
        <v>4</v>
      </c>
      <c r="I3" s="6"/>
      <c r="J3" s="9">
        <v>10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80</v>
      </c>
      <c r="F6" s="8">
        <v>6</v>
      </c>
      <c r="G6" s="31">
        <f>(F6*E6)/D6</f>
        <v>0.23414634146341465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122</v>
      </c>
      <c r="B7" s="140"/>
      <c r="C7" s="141"/>
      <c r="D7" s="7">
        <v>500</v>
      </c>
      <c r="E7" s="30">
        <v>18</v>
      </c>
      <c r="F7" s="8">
        <v>3</v>
      </c>
      <c r="G7" s="31">
        <f t="shared" ref="G7:G17" si="0">(F7*E7)/D7</f>
        <v>0.108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320</v>
      </c>
      <c r="B8" s="140"/>
      <c r="C8" s="141"/>
      <c r="D8" s="7">
        <v>2000</v>
      </c>
      <c r="E8" s="30">
        <v>92</v>
      </c>
      <c r="F8" s="8">
        <v>80</v>
      </c>
      <c r="G8" s="31">
        <f t="shared" si="0"/>
        <v>3.68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184</v>
      </c>
      <c r="B9" s="140"/>
      <c r="C9" s="141"/>
      <c r="D9" s="7">
        <v>200</v>
      </c>
      <c r="E9" s="8">
        <v>43</v>
      </c>
      <c r="F9" s="8">
        <v>1</v>
      </c>
      <c r="G9" s="31">
        <f t="shared" si="0"/>
        <v>0.215</v>
      </c>
      <c r="H9" s="4"/>
      <c r="J9" s="4"/>
      <c r="K9" s="5"/>
    </row>
    <row r="10" spans="1:14" ht="15" customHeight="1" x14ac:dyDescent="0.25">
      <c r="A10" s="139" t="s">
        <v>143</v>
      </c>
      <c r="B10" s="140"/>
      <c r="C10" s="141"/>
      <c r="D10" s="7">
        <v>1000</v>
      </c>
      <c r="E10" s="8">
        <v>100</v>
      </c>
      <c r="F10" s="8">
        <v>1</v>
      </c>
      <c r="G10" s="31">
        <f t="shared" si="0"/>
        <v>0.1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323</v>
      </c>
      <c r="B11" s="140"/>
      <c r="C11" s="141"/>
      <c r="D11" s="7">
        <v>100</v>
      </c>
      <c r="E11" s="8">
        <v>2</v>
      </c>
      <c r="F11" s="8">
        <v>3</v>
      </c>
      <c r="G11" s="31">
        <f t="shared" si="0"/>
        <v>0.06</v>
      </c>
      <c r="H11" s="4"/>
      <c r="I11" s="21" t="s">
        <v>20</v>
      </c>
      <c r="J11" s="22"/>
      <c r="K11" s="22"/>
      <c r="L11" s="23">
        <f>K7*J3</f>
        <v>0.22037037037037036</v>
      </c>
    </row>
    <row r="12" spans="1:14" ht="15" customHeight="1" x14ac:dyDescent="0.25">
      <c r="A12" s="139" t="s">
        <v>303</v>
      </c>
      <c r="B12" s="140"/>
      <c r="C12" s="141"/>
      <c r="D12" s="7">
        <v>10</v>
      </c>
      <c r="E12" s="8">
        <v>12</v>
      </c>
      <c r="F12" s="8">
        <v>1</v>
      </c>
      <c r="G12" s="31"/>
      <c r="H12" s="4"/>
      <c r="I12" s="24" t="s">
        <v>22</v>
      </c>
      <c r="J12" s="4"/>
      <c r="K12" s="4"/>
      <c r="L12" s="25">
        <f>G18</f>
        <v>4.9991463414634145</v>
      </c>
    </row>
    <row r="13" spans="1:14" ht="15" customHeight="1" x14ac:dyDescent="0.25">
      <c r="A13" s="139" t="s">
        <v>321</v>
      </c>
      <c r="B13" s="140"/>
      <c r="C13" s="141"/>
      <c r="D13" s="7">
        <v>10000</v>
      </c>
      <c r="E13" s="8">
        <v>14</v>
      </c>
      <c r="F13" s="8">
        <v>430</v>
      </c>
      <c r="G13" s="31">
        <f t="shared" si="0"/>
        <v>0.60199999999999998</v>
      </c>
      <c r="H13" s="4"/>
      <c r="I13" s="26" t="s">
        <v>24</v>
      </c>
      <c r="J13" s="27"/>
      <c r="K13" s="27"/>
      <c r="L13" s="28">
        <f>K8*J3</f>
        <v>0.94696969696969713</v>
      </c>
    </row>
    <row r="14" spans="1:14" ht="15" customHeight="1" x14ac:dyDescent="0.25">
      <c r="A14" s="139" t="s">
        <v>324</v>
      </c>
      <c r="B14" s="140"/>
      <c r="C14" s="141"/>
      <c r="D14" s="7">
        <v>50</v>
      </c>
      <c r="E14" s="8">
        <v>2</v>
      </c>
      <c r="F14" s="8">
        <v>3</v>
      </c>
      <c r="G14" s="31">
        <f t="shared" si="0"/>
        <v>0.12</v>
      </c>
      <c r="H14" s="4"/>
      <c r="I14" s="73" t="s">
        <v>26</v>
      </c>
      <c r="J14" s="74"/>
      <c r="K14" s="74"/>
      <c r="L14" s="75">
        <f>SUM(L11:L13)</f>
        <v>6.1664864088034825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6.1664864088034825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SUM(L14+L15)</f>
        <v>12.332972817606965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SUM(G6:G13)</f>
        <v>4.9991463414634145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62D6-9449-A548-96C0-0AFBBA7B8365}">
  <sheetPr>
    <tabColor rgb="FFFFCCFF"/>
  </sheetPr>
  <dimension ref="A1:N32"/>
  <sheetViews>
    <sheetView showGridLines="0" topLeftCell="F1" workbookViewId="0">
      <selection activeCell="F6" sqref="F6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126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295</v>
      </c>
      <c r="B6" s="140"/>
      <c r="C6" s="141"/>
      <c r="D6" s="7">
        <v>2050</v>
      </c>
      <c r="E6" s="30">
        <v>200</v>
      </c>
      <c r="F6" s="8">
        <v>30</v>
      </c>
      <c r="G6" s="31">
        <f>(F6*E6)/D6</f>
        <v>2.9268292682926829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122</v>
      </c>
      <c r="B7" s="140"/>
      <c r="C7" s="141"/>
      <c r="D7" s="7">
        <v>500</v>
      </c>
      <c r="E7" s="30">
        <v>17</v>
      </c>
      <c r="F7" s="8">
        <v>20</v>
      </c>
      <c r="G7" s="31"/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127</v>
      </c>
      <c r="B8" s="140"/>
      <c r="C8" s="141"/>
      <c r="D8" s="7">
        <v>50</v>
      </c>
      <c r="E8" s="30">
        <v>4.3</v>
      </c>
      <c r="F8" s="8">
        <v>1</v>
      </c>
      <c r="G8" s="31"/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128</v>
      </c>
      <c r="B9" s="140"/>
      <c r="C9" s="141"/>
      <c r="D9" s="7">
        <v>100</v>
      </c>
      <c r="E9" s="8">
        <v>2</v>
      </c>
      <c r="F9" s="8">
        <v>1</v>
      </c>
      <c r="G9" s="31"/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0.22037037037037036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2.9268292682926829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0.94696969696969713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4.09416933563275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4.09416933563275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ref="G16:G17" si="0">(F16*E16)/D16</f>
        <v>0</v>
      </c>
      <c r="H16" s="4"/>
      <c r="I16" s="76" t="s">
        <v>29</v>
      </c>
      <c r="J16" s="77"/>
      <c r="K16" s="78"/>
      <c r="L16" s="79">
        <f>SUM(L14+L15)</f>
        <v>8.1883386712655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2.9268292682926829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N32"/>
  <sheetViews>
    <sheetView showGridLines="0" workbookViewId="0">
      <selection activeCell="L32" sqref="L32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126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63</v>
      </c>
      <c r="F6" s="8">
        <v>15</v>
      </c>
      <c r="G6" s="31">
        <f>(F6*E6)/D6</f>
        <v>0.46097560975609758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122</v>
      </c>
      <c r="B7" s="140"/>
      <c r="C7" s="141"/>
      <c r="D7" s="7">
        <v>500</v>
      </c>
      <c r="E7" s="30">
        <v>17</v>
      </c>
      <c r="F7" s="8">
        <v>20</v>
      </c>
      <c r="G7" s="31">
        <f t="shared" ref="G7:G17" si="0">(F7*E7)/D7</f>
        <v>0.68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127</v>
      </c>
      <c r="B8" s="140"/>
      <c r="C8" s="141"/>
      <c r="D8" s="7">
        <v>50</v>
      </c>
      <c r="E8" s="30">
        <v>4.3</v>
      </c>
      <c r="F8" s="8">
        <v>1</v>
      </c>
      <c r="G8" s="31">
        <f t="shared" si="0"/>
        <v>8.5999999999999993E-2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128</v>
      </c>
      <c r="B9" s="140"/>
      <c r="C9" s="141"/>
      <c r="D9" s="7">
        <v>100</v>
      </c>
      <c r="E9" s="8">
        <v>2</v>
      </c>
      <c r="F9" s="8">
        <v>1</v>
      </c>
      <c r="G9" s="31">
        <f t="shared" si="0"/>
        <v>0.02</v>
      </c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0.22037037037037036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1.2469756097560978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0.94696969696969713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2.4143156770961651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2.4143156770961651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SUM(L14+L15)</f>
        <v>4.8286313541923302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1.2469756097560978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FE93-D2E1-4A6B-8481-74F98F9D63E3}">
  <sheetPr>
    <tabColor rgb="FFFFCCFF"/>
  </sheetPr>
  <dimension ref="A1:N32"/>
  <sheetViews>
    <sheetView showGridLines="0" workbookViewId="0">
      <selection activeCell="E21" sqref="E21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129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130</v>
      </c>
      <c r="B6" s="140"/>
      <c r="C6" s="141"/>
      <c r="D6" s="7">
        <v>2050</v>
      </c>
      <c r="E6" s="30">
        <v>63</v>
      </c>
      <c r="F6" s="8">
        <v>144</v>
      </c>
      <c r="G6" s="31">
        <f>(F6*E6)/D6</f>
        <v>4.425365853658537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131</v>
      </c>
      <c r="B7" s="140"/>
      <c r="C7" s="141"/>
      <c r="D7" s="7">
        <v>500</v>
      </c>
      <c r="E7" s="30">
        <v>24.2</v>
      </c>
      <c r="F7" s="8">
        <v>63</v>
      </c>
      <c r="G7" s="31">
        <f t="shared" ref="G7:G17" si="0">(F7*E7)/D7</f>
        <v>3.0491999999999999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127</v>
      </c>
      <c r="B8" s="140"/>
      <c r="C8" s="141"/>
      <c r="D8" s="7">
        <v>50</v>
      </c>
      <c r="E8" s="30">
        <v>4.3</v>
      </c>
      <c r="F8" s="8">
        <v>9</v>
      </c>
      <c r="G8" s="31">
        <f t="shared" si="0"/>
        <v>0.77399999999999991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128</v>
      </c>
      <c r="B9" s="140"/>
      <c r="C9" s="141"/>
      <c r="D9" s="7">
        <v>100</v>
      </c>
      <c r="E9" s="8">
        <v>2</v>
      </c>
      <c r="F9" s="8">
        <v>9</v>
      </c>
      <c r="G9" s="31">
        <f t="shared" si="0"/>
        <v>0.18</v>
      </c>
      <c r="H9" s="4"/>
      <c r="J9" s="4"/>
      <c r="K9" s="5"/>
    </row>
    <row r="10" spans="1:14" ht="15" customHeight="1" x14ac:dyDescent="0.25">
      <c r="A10" s="139" t="s">
        <v>132</v>
      </c>
      <c r="B10" s="140"/>
      <c r="C10" s="141"/>
      <c r="D10" s="7">
        <v>190</v>
      </c>
      <c r="E10" s="8">
        <v>20</v>
      </c>
      <c r="F10" s="8">
        <v>63</v>
      </c>
      <c r="G10" s="31">
        <f t="shared" si="0"/>
        <v>6.6315789473684212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133</v>
      </c>
      <c r="B11" s="140"/>
      <c r="C11" s="141"/>
      <c r="D11" s="7">
        <v>10</v>
      </c>
      <c r="E11" s="8">
        <v>20</v>
      </c>
      <c r="F11" s="8">
        <v>1</v>
      </c>
      <c r="G11" s="31">
        <f t="shared" si="0"/>
        <v>2</v>
      </c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15.060144801026958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16.81115490203706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16.81115490203706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SUM(L14+L15)</f>
        <v>33.622309804074121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15.060144801026958</v>
      </c>
      <c r="H18" s="4"/>
    </row>
    <row r="19" spans="1:12" ht="15" customHeight="1" x14ac:dyDescent="0.25">
      <c r="H19" s="4"/>
    </row>
    <row r="20" spans="1:12" ht="15" customHeight="1" x14ac:dyDescent="0.25">
      <c r="E20" s="2" t="s">
        <v>134</v>
      </c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EE01-0C6D-4C66-AA80-2B6E04899E10}">
  <sheetPr>
    <tabColor rgb="FFFFCCFF"/>
  </sheetPr>
  <dimension ref="A1:N32"/>
  <sheetViews>
    <sheetView showGridLines="0" workbookViewId="0">
      <selection activeCell="G8" sqref="G8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135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63</v>
      </c>
      <c r="F6" s="8">
        <v>10</v>
      </c>
      <c r="G6" s="31">
        <f>(F6*E6)/D6</f>
        <v>0.3073170731707317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122</v>
      </c>
      <c r="B7" s="140"/>
      <c r="C7" s="141"/>
      <c r="D7" s="7">
        <v>500</v>
      </c>
      <c r="E7" s="30">
        <v>17</v>
      </c>
      <c r="F7" s="8">
        <v>9</v>
      </c>
      <c r="G7" s="31">
        <f t="shared" ref="G7:G17" si="0">(F7*E7)/D7</f>
        <v>0.30599999999999999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127</v>
      </c>
      <c r="B8" s="140"/>
      <c r="C8" s="141"/>
      <c r="D8" s="7">
        <v>50</v>
      </c>
      <c r="E8" s="30">
        <v>4.3</v>
      </c>
      <c r="F8" s="8">
        <v>1</v>
      </c>
      <c r="G8" s="31">
        <f t="shared" si="0"/>
        <v>8.5999999999999993E-2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128</v>
      </c>
      <c r="B9" s="140"/>
      <c r="C9" s="141"/>
      <c r="D9" s="7">
        <v>100</v>
      </c>
      <c r="E9" s="8">
        <v>2</v>
      </c>
      <c r="F9" s="8">
        <v>1</v>
      </c>
      <c r="G9" s="31">
        <f t="shared" si="0"/>
        <v>0.02</v>
      </c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0.22037037037037036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0.71931707317073168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0.94696969696969713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1.886657140510799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1.886657140510799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SUM(L14+L15)</f>
        <v>3.773314281021598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0.71931707317073168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D0C0-14CD-4096-B53C-06757E64E6BE}">
  <sheetPr>
    <tabColor rgb="FFFFCCFF"/>
  </sheetPr>
  <dimension ref="A1:N32"/>
  <sheetViews>
    <sheetView showGridLines="0" topLeftCell="F1" workbookViewId="0">
      <selection activeCell="G7" sqref="G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136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20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/>
      <c r="B6" s="140"/>
      <c r="C6" s="141"/>
      <c r="D6" s="7"/>
      <c r="E6" s="30"/>
      <c r="F6" s="8"/>
      <c r="G6" s="31"/>
      <c r="H6" s="4"/>
      <c r="I6" s="149" t="s">
        <v>11</v>
      </c>
      <c r="J6" s="150"/>
      <c r="K6" s="151"/>
    </row>
    <row r="7" spans="1:14" ht="15" customHeight="1" x14ac:dyDescent="0.25">
      <c r="A7" s="139" t="s">
        <v>137</v>
      </c>
      <c r="B7" s="140"/>
      <c r="C7" s="141"/>
      <c r="D7" s="7">
        <v>2050</v>
      </c>
      <c r="E7" s="30">
        <v>130</v>
      </c>
      <c r="F7" s="8">
        <v>13</v>
      </c>
      <c r="G7" s="31">
        <f t="shared" ref="G7:G17" si="0">(F7*E7)/D7</f>
        <v>0.82439024390243898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127</v>
      </c>
      <c r="B8" s="140"/>
      <c r="C8" s="141"/>
      <c r="D8" s="7">
        <v>50</v>
      </c>
      <c r="E8" s="30">
        <v>4.3</v>
      </c>
      <c r="F8" s="8">
        <v>1</v>
      </c>
      <c r="G8" s="31">
        <f t="shared" si="0"/>
        <v>8.5999999999999993E-2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128</v>
      </c>
      <c r="B9" s="140"/>
      <c r="C9" s="141"/>
      <c r="D9" s="7">
        <v>100</v>
      </c>
      <c r="E9" s="8">
        <v>2</v>
      </c>
      <c r="F9" s="8">
        <v>1</v>
      </c>
      <c r="G9" s="31">
        <f t="shared" si="0"/>
        <v>0.02</v>
      </c>
      <c r="H9" s="4"/>
      <c r="J9" s="4"/>
      <c r="K9" s="5"/>
    </row>
    <row r="10" spans="1:14" ht="15" customHeight="1" x14ac:dyDescent="0.25">
      <c r="A10" s="139" t="s">
        <v>139</v>
      </c>
      <c r="B10" s="140"/>
      <c r="C10" s="141"/>
      <c r="D10" s="7">
        <v>2050</v>
      </c>
      <c r="E10" s="8">
        <v>70</v>
      </c>
      <c r="F10" s="8">
        <v>20</v>
      </c>
      <c r="G10" s="31">
        <f>(F10*E10)/D10</f>
        <v>0.68292682926829273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289</v>
      </c>
      <c r="B11" s="140"/>
      <c r="C11" s="141"/>
      <c r="D11" s="7">
        <v>500</v>
      </c>
      <c r="E11" s="8">
        <v>18</v>
      </c>
      <c r="F11" s="8">
        <v>8</v>
      </c>
      <c r="G11" s="31">
        <f>(F11*E11)/D11</f>
        <v>0.28799999999999998</v>
      </c>
      <c r="H11" s="4"/>
      <c r="I11" s="21" t="s">
        <v>20</v>
      </c>
      <c r="J11" s="22"/>
      <c r="K11" s="22"/>
      <c r="L11" s="23">
        <f>K7*J3</f>
        <v>0.44074074074074071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1.9013170731707316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1.8939393939393943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4.2359972078508665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L14*1</f>
        <v>4.2359972078508665</v>
      </c>
    </row>
    <row r="16" spans="1:14" ht="15" customHeight="1" x14ac:dyDescent="0.25">
      <c r="A16" s="139"/>
      <c r="B16" s="140"/>
      <c r="C16" s="141"/>
      <c r="D16" s="7">
        <v>1</v>
      </c>
      <c r="E16" s="8"/>
      <c r="F16" s="8"/>
      <c r="G16" s="31">
        <f t="shared" si="0"/>
        <v>0</v>
      </c>
      <c r="H16" s="4"/>
      <c r="I16" s="76" t="s">
        <v>29</v>
      </c>
      <c r="J16" s="77"/>
      <c r="K16" s="78"/>
      <c r="L16" s="79">
        <f>SUM(L14+L15)</f>
        <v>8.4719944157017331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SUM(G6:G11)</f>
        <v>1.9013170731707316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O32"/>
  <sheetViews>
    <sheetView showGridLines="0" workbookViewId="0">
      <selection activeCell="E7" sqref="E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138</v>
      </c>
      <c r="C3" s="144"/>
      <c r="D3" s="145"/>
      <c r="E3" s="3" t="s">
        <v>3</v>
      </c>
      <c r="F3" s="131">
        <v>1</v>
      </c>
      <c r="G3" s="9"/>
      <c r="H3" s="3" t="s">
        <v>4</v>
      </c>
      <c r="I3" s="6"/>
      <c r="J3" s="9">
        <v>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139</v>
      </c>
      <c r="B6" s="140"/>
      <c r="C6" s="141"/>
      <c r="D6" s="7">
        <v>2050</v>
      </c>
      <c r="E6" s="30">
        <v>80</v>
      </c>
      <c r="F6" s="8">
        <v>25</v>
      </c>
      <c r="G6" s="31">
        <f>(F6*E6)/D6</f>
        <v>0.97560975609756095</v>
      </c>
      <c r="H6" s="4"/>
      <c r="I6" s="149" t="s">
        <v>11</v>
      </c>
      <c r="J6" s="150"/>
      <c r="K6" s="151"/>
    </row>
    <row r="7" spans="1:14" ht="15" customHeight="1" x14ac:dyDescent="0.25">
      <c r="A7" s="139"/>
      <c r="B7" s="140"/>
      <c r="C7" s="141"/>
      <c r="D7" s="7"/>
      <c r="E7" s="30"/>
      <c r="F7" s="8"/>
      <c r="G7" s="31"/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75</v>
      </c>
      <c r="B8" s="140"/>
      <c r="C8" s="141"/>
      <c r="D8" s="7">
        <v>500</v>
      </c>
      <c r="E8" s="30">
        <v>18</v>
      </c>
      <c r="F8" s="8">
        <v>45</v>
      </c>
      <c r="G8" s="31">
        <f>(F8*E8)/D8</f>
        <v>1.62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27</v>
      </c>
      <c r="B9" s="140"/>
      <c r="C9" s="141"/>
      <c r="D9" s="7">
        <v>100</v>
      </c>
      <c r="E9" s="30">
        <v>12</v>
      </c>
      <c r="F9" s="8">
        <v>1</v>
      </c>
      <c r="G9" s="31">
        <f>(F9*E9)/D9</f>
        <v>0.12</v>
      </c>
      <c r="H9" s="4"/>
      <c r="J9" s="4"/>
      <c r="K9" s="5"/>
    </row>
    <row r="10" spans="1:14" ht="15" customHeight="1" x14ac:dyDescent="0.25">
      <c r="A10" s="139" t="s">
        <v>117</v>
      </c>
      <c r="B10" s="140"/>
      <c r="C10" s="141"/>
      <c r="D10" s="7">
        <v>1000</v>
      </c>
      <c r="E10" s="30">
        <v>100</v>
      </c>
      <c r="F10" s="8">
        <v>1</v>
      </c>
      <c r="G10" s="31">
        <f t="shared" ref="G10:G17" si="0">(F10*E10)/D10</f>
        <v>0.1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>
        <v>1</v>
      </c>
      <c r="E11" s="30"/>
      <c r="F11" s="8"/>
      <c r="G11" s="31">
        <f t="shared" si="0"/>
        <v>0</v>
      </c>
      <c r="H11" s="4"/>
      <c r="I11" s="21" t="s">
        <v>20</v>
      </c>
      <c r="J11" s="22"/>
      <c r="K11" s="22"/>
      <c r="L11" s="23">
        <f>K7*J3</f>
        <v>0.11018518518518518</v>
      </c>
    </row>
    <row r="12" spans="1:14" ht="15" customHeight="1" x14ac:dyDescent="0.25">
      <c r="A12" s="139"/>
      <c r="B12" s="140"/>
      <c r="C12" s="141"/>
      <c r="D12" s="7">
        <v>1</v>
      </c>
      <c r="E12" s="30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2.8156097560975613</v>
      </c>
    </row>
    <row r="13" spans="1:14" ht="15" customHeight="1" x14ac:dyDescent="0.25">
      <c r="A13" s="139"/>
      <c r="B13" s="140"/>
      <c r="C13" s="141"/>
      <c r="D13" s="7">
        <v>1</v>
      </c>
      <c r="E13" s="30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0.47348484848484856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3.3992797897675953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33</v>
      </c>
      <c r="J15" s="6"/>
      <c r="K15" s="6"/>
      <c r="L15" s="20">
        <f>L14*1</f>
        <v>3.3992797897675953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6.7985595795351905</v>
      </c>
    </row>
    <row r="17" spans="1:15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5" ht="15" customHeight="1" x14ac:dyDescent="0.25">
      <c r="E18" s="10" t="s">
        <v>31</v>
      </c>
      <c r="F18" s="11"/>
      <c r="G18" s="31">
        <f>SUM(G6:G11)</f>
        <v>2.8156097560975613</v>
      </c>
      <c r="H18" s="4"/>
    </row>
    <row r="19" spans="1:15" ht="15" customHeight="1" x14ac:dyDescent="0.25">
      <c r="G19" s="130">
        <f>(G18/F3)</f>
        <v>2.8156097560975613</v>
      </c>
      <c r="H19" s="4"/>
    </row>
    <row r="20" spans="1:15" ht="15" customHeight="1" x14ac:dyDescent="0.25">
      <c r="H20" s="4"/>
      <c r="I20" s="4"/>
      <c r="J20" s="4"/>
      <c r="K20" s="4"/>
    </row>
    <row r="21" spans="1:15" ht="15" customHeight="1" x14ac:dyDescent="0.25">
      <c r="H21" s="4"/>
      <c r="I21" s="4"/>
      <c r="J21" s="4"/>
      <c r="K21" s="4"/>
    </row>
    <row r="22" spans="1:15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5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5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5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L25" s="3" t="s">
        <v>28</v>
      </c>
      <c r="M25" s="6"/>
      <c r="N25" s="6"/>
      <c r="O25" s="20">
        <f>L14*0.3</f>
        <v>1.0197839369302786</v>
      </c>
    </row>
    <row r="26" spans="1:15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L26" s="3" t="s">
        <v>32</v>
      </c>
      <c r="M26" s="6"/>
      <c r="N26" s="6"/>
      <c r="O26" s="124">
        <f>18.8*0.5</f>
        <v>9.4</v>
      </c>
    </row>
    <row r="27" spans="1:15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L27" s="3" t="s">
        <v>33</v>
      </c>
      <c r="M27" s="6"/>
      <c r="N27" s="6"/>
      <c r="O27" s="20">
        <f>18.8*1</f>
        <v>18.8</v>
      </c>
    </row>
    <row r="28" spans="1:15" ht="15" customHeight="1" x14ac:dyDescent="0.25">
      <c r="B28" s="4"/>
      <c r="C28" s="4"/>
      <c r="D28" s="4"/>
      <c r="E28" s="14"/>
      <c r="F28" s="14"/>
      <c r="G28" s="14"/>
      <c r="K28" s="4"/>
    </row>
    <row r="29" spans="1:15" ht="15" customHeight="1" x14ac:dyDescent="0.25">
      <c r="B29" s="4"/>
      <c r="C29" s="4"/>
      <c r="D29" s="4"/>
      <c r="E29" s="14"/>
      <c r="F29" s="14"/>
      <c r="G29" s="14"/>
      <c r="K29" s="4"/>
      <c r="L29" s="76" t="s">
        <v>34</v>
      </c>
      <c r="M29" s="77"/>
      <c r="N29" s="78"/>
      <c r="O29" s="79">
        <f>L14+L15</f>
        <v>6.7985595795351905</v>
      </c>
    </row>
    <row r="30" spans="1:15" ht="15" customHeight="1" x14ac:dyDescent="0.25">
      <c r="B30" s="4"/>
      <c r="C30" s="4"/>
      <c r="D30" s="4"/>
      <c r="E30" s="14"/>
      <c r="F30" s="14"/>
      <c r="G30" s="14"/>
      <c r="K30" s="4"/>
      <c r="L30" s="116" t="s">
        <v>35</v>
      </c>
      <c r="M30" s="117"/>
      <c r="N30" s="118"/>
      <c r="O30" s="119">
        <f>L14+O26</f>
        <v>12.799279789767596</v>
      </c>
    </row>
    <row r="31" spans="1:15" ht="15" customHeight="1" x14ac:dyDescent="0.25">
      <c r="B31" s="4"/>
      <c r="C31" s="4"/>
      <c r="D31" s="4"/>
      <c r="E31" s="4"/>
      <c r="F31" s="4"/>
      <c r="G31" s="4"/>
      <c r="K31" s="4"/>
      <c r="L31" s="120" t="s">
        <v>36</v>
      </c>
      <c r="M31" s="121"/>
      <c r="N31" s="122"/>
      <c r="O31" s="123">
        <f>L14+O27</f>
        <v>22.199279789767594</v>
      </c>
    </row>
    <row r="32" spans="1:15" ht="15" customHeight="1" x14ac:dyDescent="0.25">
      <c r="B32" s="16"/>
      <c r="C32" s="4"/>
      <c r="D32" s="4"/>
      <c r="E32" s="17"/>
      <c r="F32" s="17"/>
      <c r="G32" s="17"/>
      <c r="K32" s="4"/>
      <c r="L32" s="4"/>
      <c r="M32" s="4"/>
      <c r="N32" s="4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O32"/>
  <sheetViews>
    <sheetView showGridLines="0" workbookViewId="0">
      <selection activeCell="K8" sqref="K8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140</v>
      </c>
      <c r="C3" s="144"/>
      <c r="D3" s="145"/>
      <c r="E3" s="3" t="s">
        <v>3</v>
      </c>
      <c r="F3" s="131">
        <v>1</v>
      </c>
      <c r="G3" s="9"/>
      <c r="H3" s="3" t="s">
        <v>4</v>
      </c>
      <c r="I3" s="6"/>
      <c r="J3" s="9">
        <v>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139</v>
      </c>
      <c r="B6" s="140"/>
      <c r="C6" s="141"/>
      <c r="D6" s="7">
        <v>2050</v>
      </c>
      <c r="E6" s="30">
        <v>65</v>
      </c>
      <c r="F6" s="8">
        <v>20</v>
      </c>
      <c r="G6" s="31">
        <f>(F6*E6)/D6</f>
        <v>0.63414634146341464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141</v>
      </c>
      <c r="B7" s="140"/>
      <c r="C7" s="141"/>
      <c r="D7" s="7">
        <v>1500</v>
      </c>
      <c r="E7" s="30">
        <v>21</v>
      </c>
      <c r="F7" s="8">
        <v>17</v>
      </c>
      <c r="G7" s="31">
        <f t="shared" ref="G7:G17" si="0">(F7*E7)/D7</f>
        <v>0.23799999999999999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75</v>
      </c>
      <c r="B8" s="140"/>
      <c r="C8" s="141"/>
      <c r="D8" s="7">
        <v>500</v>
      </c>
      <c r="E8" s="30">
        <v>17</v>
      </c>
      <c r="F8" s="8">
        <v>20</v>
      </c>
      <c r="G8" s="31">
        <f t="shared" si="0"/>
        <v>0.68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30"/>
      <c r="F9" s="8"/>
      <c r="G9" s="31"/>
      <c r="H9" s="4"/>
      <c r="J9" s="4"/>
      <c r="K9" s="5"/>
    </row>
    <row r="10" spans="1:14" ht="15" customHeight="1" x14ac:dyDescent="0.25">
      <c r="A10" s="139"/>
      <c r="B10" s="140"/>
      <c r="C10" s="141"/>
      <c r="D10" s="7">
        <v>1</v>
      </c>
      <c r="E10" s="30"/>
      <c r="F10" s="8"/>
      <c r="G10" s="31">
        <f t="shared" si="0"/>
        <v>0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>
        <v>1</v>
      </c>
      <c r="E11" s="30"/>
      <c r="F11" s="8"/>
      <c r="G11" s="31">
        <f t="shared" si="0"/>
        <v>0</v>
      </c>
      <c r="H11" s="4"/>
      <c r="I11" s="21" t="s">
        <v>20</v>
      </c>
      <c r="J11" s="22"/>
      <c r="K11" s="22"/>
      <c r="L11" s="23">
        <f>K7*J3</f>
        <v>0.11018518518518518</v>
      </c>
    </row>
    <row r="12" spans="1:14" ht="15" customHeight="1" x14ac:dyDescent="0.25">
      <c r="A12" s="139"/>
      <c r="B12" s="140"/>
      <c r="C12" s="141"/>
      <c r="D12" s="7">
        <v>1</v>
      </c>
      <c r="E12" s="30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1.5521463414634147</v>
      </c>
    </row>
    <row r="13" spans="1:14" ht="15" customHeight="1" x14ac:dyDescent="0.25">
      <c r="A13" s="139"/>
      <c r="B13" s="140"/>
      <c r="C13" s="141"/>
      <c r="D13" s="7">
        <v>1</v>
      </c>
      <c r="E13" s="30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0.47348484848484856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2.1358163751334485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33</v>
      </c>
      <c r="J15" s="6"/>
      <c r="K15" s="6"/>
      <c r="L15" s="20">
        <f>L14*1</f>
        <v>2.1358163751334485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4.2716327502668969</v>
      </c>
    </row>
    <row r="17" spans="1:15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5" ht="15" customHeight="1" x14ac:dyDescent="0.25">
      <c r="E18" s="10" t="s">
        <v>31</v>
      </c>
      <c r="F18" s="11"/>
      <c r="G18" s="31">
        <f>SUM(G6:G11)</f>
        <v>1.5521463414634147</v>
      </c>
      <c r="H18" s="4"/>
    </row>
    <row r="19" spans="1:15" ht="15" customHeight="1" x14ac:dyDescent="0.25">
      <c r="G19" s="130">
        <f>(G18/F3)</f>
        <v>1.5521463414634147</v>
      </c>
      <c r="H19" s="4"/>
    </row>
    <row r="20" spans="1:15" ht="15" customHeight="1" x14ac:dyDescent="0.25">
      <c r="H20" s="4"/>
      <c r="I20" s="4"/>
      <c r="J20" s="4"/>
      <c r="K20" s="4"/>
    </row>
    <row r="21" spans="1:15" ht="15" customHeight="1" x14ac:dyDescent="0.25">
      <c r="H21" s="4"/>
      <c r="I21" s="4"/>
      <c r="J21" s="4"/>
      <c r="K21" s="4"/>
    </row>
    <row r="22" spans="1:15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5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5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5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L25" s="3" t="s">
        <v>28</v>
      </c>
      <c r="M25" s="6"/>
      <c r="N25" s="6"/>
      <c r="O25" s="20">
        <f>L14*0.3</f>
        <v>0.64074491254003452</v>
      </c>
    </row>
    <row r="26" spans="1:15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L26" s="3" t="s">
        <v>32</v>
      </c>
      <c r="M26" s="6"/>
      <c r="N26" s="6"/>
      <c r="O26" s="124">
        <f>18.8*0.5</f>
        <v>9.4</v>
      </c>
    </row>
    <row r="27" spans="1:15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L27" s="3" t="s">
        <v>33</v>
      </c>
      <c r="M27" s="6"/>
      <c r="N27" s="6"/>
      <c r="O27" s="20">
        <f>18.8*1</f>
        <v>18.8</v>
      </c>
    </row>
    <row r="28" spans="1:15" ht="15" customHeight="1" x14ac:dyDescent="0.25">
      <c r="B28" s="4"/>
      <c r="C28" s="4"/>
      <c r="D28" s="4"/>
      <c r="E28" s="14"/>
      <c r="F28" s="14"/>
      <c r="G28" s="14"/>
      <c r="K28" s="4"/>
    </row>
    <row r="29" spans="1:15" ht="15" customHeight="1" x14ac:dyDescent="0.25">
      <c r="B29" s="4"/>
      <c r="C29" s="4"/>
      <c r="D29" s="4"/>
      <c r="E29" s="14"/>
      <c r="F29" s="14"/>
      <c r="G29" s="14"/>
      <c r="K29" s="4"/>
      <c r="L29" s="76" t="s">
        <v>34</v>
      </c>
      <c r="M29" s="77"/>
      <c r="N29" s="78"/>
      <c r="O29" s="79">
        <f>L14+L15</f>
        <v>4.2716327502668969</v>
      </c>
    </row>
    <row r="30" spans="1:15" ht="15" customHeight="1" x14ac:dyDescent="0.25">
      <c r="B30" s="4"/>
      <c r="C30" s="4"/>
      <c r="D30" s="4"/>
      <c r="E30" s="14"/>
      <c r="F30" s="14"/>
      <c r="G30" s="14"/>
      <c r="K30" s="4"/>
      <c r="L30" s="116" t="s">
        <v>35</v>
      </c>
      <c r="M30" s="117"/>
      <c r="N30" s="118"/>
      <c r="O30" s="119">
        <f>L14+O26</f>
        <v>11.535816375133448</v>
      </c>
    </row>
    <row r="31" spans="1:15" ht="15" customHeight="1" x14ac:dyDescent="0.25">
      <c r="B31" s="4"/>
      <c r="C31" s="4"/>
      <c r="D31" s="4"/>
      <c r="E31" s="4"/>
      <c r="F31" s="4"/>
      <c r="G31" s="4"/>
      <c r="K31" s="4"/>
      <c r="L31" s="120" t="s">
        <v>36</v>
      </c>
      <c r="M31" s="121"/>
      <c r="N31" s="122"/>
      <c r="O31" s="123">
        <f>L14+O27</f>
        <v>20.935816375133449</v>
      </c>
    </row>
    <row r="32" spans="1:15" ht="15" customHeight="1" x14ac:dyDescent="0.25">
      <c r="B32" s="16"/>
      <c r="C32" s="4"/>
      <c r="D32" s="4"/>
      <c r="E32" s="17"/>
      <c r="F32" s="17"/>
      <c r="G32" s="17"/>
      <c r="K32" s="4"/>
      <c r="L32" s="4"/>
      <c r="M32" s="4"/>
      <c r="N32" s="4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-0.249977111117893"/>
  </sheetPr>
  <dimension ref="A1:N32"/>
  <sheetViews>
    <sheetView showGridLines="0" workbookViewId="0">
      <selection activeCell="E7" sqref="E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142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80</v>
      </c>
      <c r="F6" s="8">
        <v>30</v>
      </c>
      <c r="G6" s="31">
        <f>(F6*E6)/D6</f>
        <v>1.1707317073170731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75</v>
      </c>
      <c r="B7" s="140"/>
      <c r="C7" s="141"/>
      <c r="D7" s="7">
        <v>500</v>
      </c>
      <c r="E7" s="30">
        <v>18</v>
      </c>
      <c r="F7" s="8">
        <v>22</v>
      </c>
      <c r="G7" s="31">
        <f t="shared" ref="G7:G17" si="0">(F7*E7)/D7</f>
        <v>0.79200000000000004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119</v>
      </c>
      <c r="B8" s="140"/>
      <c r="C8" s="141"/>
      <c r="D8" s="7">
        <v>1500</v>
      </c>
      <c r="E8" s="30">
        <v>21</v>
      </c>
      <c r="F8" s="8">
        <v>20</v>
      </c>
      <c r="G8" s="31">
        <f t="shared" si="0"/>
        <v>0.28000000000000003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106</v>
      </c>
      <c r="B9" s="140"/>
      <c r="C9" s="141"/>
      <c r="D9" s="7">
        <v>100</v>
      </c>
      <c r="E9" s="8">
        <v>5</v>
      </c>
      <c r="F9" s="8">
        <v>1</v>
      </c>
      <c r="G9" s="31">
        <f t="shared" si="0"/>
        <v>0.05</v>
      </c>
      <c r="H9" s="4"/>
      <c r="J9" s="4"/>
      <c r="K9" s="5"/>
    </row>
    <row r="10" spans="1:14" ht="15" customHeight="1" x14ac:dyDescent="0.25">
      <c r="A10" s="139" t="s">
        <v>143</v>
      </c>
      <c r="B10" s="140"/>
      <c r="C10" s="141"/>
      <c r="D10" s="7">
        <v>1000</v>
      </c>
      <c r="E10" s="8">
        <v>100</v>
      </c>
      <c r="F10" s="8">
        <v>1</v>
      </c>
      <c r="G10" s="31">
        <f t="shared" si="0"/>
        <v>0.1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>
        <v>1</v>
      </c>
      <c r="E11" s="8"/>
      <c r="F11" s="8"/>
      <c r="G11" s="31">
        <f t="shared" si="0"/>
        <v>0</v>
      </c>
      <c r="H11" s="4"/>
      <c r="I11" s="21" t="s">
        <v>20</v>
      </c>
      <c r="J11" s="22"/>
      <c r="K11" s="22"/>
      <c r="L11" s="23">
        <f>K7*J3</f>
        <v>0.11018518518518518</v>
      </c>
    </row>
    <row r="12" spans="1:14" ht="15" customHeight="1" x14ac:dyDescent="0.25">
      <c r="A12" s="139"/>
      <c r="B12" s="140"/>
      <c r="C12" s="141"/>
      <c r="D12" s="7">
        <v>1</v>
      </c>
      <c r="E12" s="8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2.3927317073170733</v>
      </c>
    </row>
    <row r="13" spans="1:14" ht="15" customHeight="1" x14ac:dyDescent="0.25">
      <c r="A13" s="139"/>
      <c r="B13" s="140"/>
      <c r="C13" s="141"/>
      <c r="D13" s="7">
        <v>1</v>
      </c>
      <c r="E13" s="8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0.47348484848484856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2.9764017409871073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33</v>
      </c>
      <c r="J15" s="6"/>
      <c r="K15" s="6"/>
      <c r="L15" s="20">
        <f>L14*1</f>
        <v>2.9764017409871073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5.9528034819742146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2.3927317073170733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N32"/>
  <sheetViews>
    <sheetView showGridLines="0" workbookViewId="0">
      <selection activeCell="E11" sqref="E11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144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80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65</v>
      </c>
      <c r="F6" s="8">
        <v>30</v>
      </c>
      <c r="G6" s="31">
        <f>(F6*E6)/D6</f>
        <v>0.95121951219512191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145</v>
      </c>
      <c r="B7" s="140"/>
      <c r="C7" s="141"/>
      <c r="D7" s="7">
        <v>900</v>
      </c>
      <c r="E7" s="30">
        <v>16</v>
      </c>
      <c r="F7" s="8">
        <v>22</v>
      </c>
      <c r="G7" s="31">
        <f t="shared" ref="G7:G17" si="0">(F7*E7)/D7</f>
        <v>0.39111111111111113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119</v>
      </c>
      <c r="B8" s="140"/>
      <c r="C8" s="141"/>
      <c r="D8" s="7">
        <v>1500</v>
      </c>
      <c r="E8" s="30">
        <v>21</v>
      </c>
      <c r="F8" s="8">
        <v>20</v>
      </c>
      <c r="G8" s="31">
        <f t="shared" si="0"/>
        <v>0.28000000000000003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/>
      <c r="B9" s="140"/>
      <c r="C9" s="141"/>
      <c r="D9" s="7">
        <v>1</v>
      </c>
      <c r="E9" s="8"/>
      <c r="F9" s="8"/>
      <c r="G9" s="31">
        <f t="shared" si="0"/>
        <v>0</v>
      </c>
      <c r="H9" s="4"/>
      <c r="J9" s="4"/>
      <c r="K9" s="5"/>
    </row>
    <row r="10" spans="1:14" ht="15" customHeight="1" x14ac:dyDescent="0.25">
      <c r="A10" s="139" t="s">
        <v>146</v>
      </c>
      <c r="B10" s="140"/>
      <c r="C10" s="141"/>
      <c r="D10" s="7">
        <v>800</v>
      </c>
      <c r="E10" s="8">
        <v>29</v>
      </c>
      <c r="F10" s="8">
        <v>150</v>
      </c>
      <c r="G10" s="31">
        <f t="shared" si="0"/>
        <v>5.4375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>
        <v>1</v>
      </c>
      <c r="E11" s="8"/>
      <c r="F11" s="8"/>
      <c r="G11" s="31">
        <f t="shared" si="0"/>
        <v>0</v>
      </c>
      <c r="H11" s="4"/>
      <c r="I11" s="21" t="s">
        <v>20</v>
      </c>
      <c r="J11" s="22"/>
      <c r="K11" s="22"/>
      <c r="L11" s="23">
        <f>K7*J3</f>
        <v>1.7629629629629628</v>
      </c>
    </row>
    <row r="12" spans="1:14" ht="15" customHeight="1" x14ac:dyDescent="0.25">
      <c r="A12" s="139"/>
      <c r="B12" s="140"/>
      <c r="C12" s="141"/>
      <c r="D12" s="7">
        <v>1</v>
      </c>
      <c r="E12" s="8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7.0598306233062331</v>
      </c>
    </row>
    <row r="13" spans="1:14" ht="15" customHeight="1" x14ac:dyDescent="0.25">
      <c r="A13" s="139"/>
      <c r="B13" s="140"/>
      <c r="C13" s="141"/>
      <c r="D13" s="7">
        <v>1</v>
      </c>
      <c r="E13" s="8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7.575757575757577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16.398551162026774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33</v>
      </c>
      <c r="J15" s="6"/>
      <c r="K15" s="6"/>
      <c r="L15" s="20">
        <f>L14*1</f>
        <v>16.398551162026774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32.797102324053547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7.0598306233062331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8" tint="-0.249977111117893"/>
  </sheetPr>
  <dimension ref="A1:N32"/>
  <sheetViews>
    <sheetView showGridLines="0" workbookViewId="0">
      <selection activeCell="E11" sqref="E11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147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60</v>
      </c>
      <c r="B6" s="140"/>
      <c r="C6" s="141"/>
      <c r="D6" s="7">
        <v>2050</v>
      </c>
      <c r="E6" s="30">
        <v>65</v>
      </c>
      <c r="F6" s="8">
        <v>20</v>
      </c>
      <c r="G6" s="31">
        <f>(F6*E6)/D6</f>
        <v>0.63414634146341464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145</v>
      </c>
      <c r="B7" s="140"/>
      <c r="C7" s="141"/>
      <c r="D7" s="7">
        <v>900</v>
      </c>
      <c r="E7" s="30">
        <v>16</v>
      </c>
      <c r="F7" s="8">
        <v>10</v>
      </c>
      <c r="G7" s="31">
        <f t="shared" ref="G7:G17" si="0">(F7*E7)/D7</f>
        <v>0.17777777777777778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119</v>
      </c>
      <c r="B8" s="140"/>
      <c r="C8" s="141"/>
      <c r="D8" s="7">
        <v>1400</v>
      </c>
      <c r="E8" s="30">
        <v>21</v>
      </c>
      <c r="F8" s="8">
        <v>10</v>
      </c>
      <c r="G8" s="31">
        <f t="shared" si="0"/>
        <v>0.15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 t="s">
        <v>143</v>
      </c>
      <c r="B9" s="140"/>
      <c r="C9" s="141"/>
      <c r="D9" s="7">
        <v>1000</v>
      </c>
      <c r="E9" s="8">
        <v>100</v>
      </c>
      <c r="F9" s="8">
        <v>1</v>
      </c>
      <c r="G9" s="31">
        <f t="shared" si="0"/>
        <v>0.1</v>
      </c>
      <c r="H9" s="4"/>
      <c r="J9" s="4"/>
      <c r="K9" s="5"/>
    </row>
    <row r="10" spans="1:14" ht="15" customHeight="1" x14ac:dyDescent="0.25">
      <c r="A10" s="139" t="s">
        <v>148</v>
      </c>
      <c r="B10" s="140"/>
      <c r="C10" s="141"/>
      <c r="D10" s="7">
        <v>800</v>
      </c>
      <c r="E10" s="8">
        <v>29</v>
      </c>
      <c r="F10" s="8">
        <v>15</v>
      </c>
      <c r="G10" s="31">
        <f t="shared" si="0"/>
        <v>0.54374999999999996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106</v>
      </c>
      <c r="B11" s="140"/>
      <c r="C11" s="141"/>
      <c r="D11" s="7">
        <v>100</v>
      </c>
      <c r="E11" s="8">
        <v>5</v>
      </c>
      <c r="F11" s="8">
        <v>1</v>
      </c>
      <c r="G11" s="31">
        <f t="shared" si="0"/>
        <v>0.05</v>
      </c>
      <c r="H11" s="4"/>
      <c r="I11" s="21" t="s">
        <v>20</v>
      </c>
      <c r="J11" s="22"/>
      <c r="K11" s="22"/>
      <c r="L11" s="23">
        <f>K7*J3</f>
        <v>0.11018518518518518</v>
      </c>
    </row>
    <row r="12" spans="1:14" ht="15" customHeight="1" x14ac:dyDescent="0.25">
      <c r="A12" s="139"/>
      <c r="B12" s="140"/>
      <c r="C12" s="141"/>
      <c r="D12" s="7">
        <v>1</v>
      </c>
      <c r="E12" s="8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1.6056741192411925</v>
      </c>
    </row>
    <row r="13" spans="1:14" ht="15" customHeight="1" x14ac:dyDescent="0.25">
      <c r="A13" s="139"/>
      <c r="B13" s="140"/>
      <c r="C13" s="141"/>
      <c r="D13" s="7">
        <v>1</v>
      </c>
      <c r="E13" s="8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0.47348484848484856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2.1893441529112261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28</v>
      </c>
      <c r="J15" s="6"/>
      <c r="K15" s="6"/>
      <c r="L15" s="20">
        <f>L14*1</f>
        <v>2.1893441529112261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4.3786883058224522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1.6056741192411925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D2C7-A5BB-438A-B982-888AF88CA684}">
  <sheetPr>
    <tabColor theme="8" tint="-0.249977111117893"/>
  </sheetPr>
  <dimension ref="A1:N32"/>
  <sheetViews>
    <sheetView showGridLines="0" workbookViewId="0">
      <selection activeCell="E6" sqref="E6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149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45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150</v>
      </c>
      <c r="B6" s="140"/>
      <c r="C6" s="141"/>
      <c r="D6" s="7">
        <v>2050</v>
      </c>
      <c r="E6" s="30">
        <v>130</v>
      </c>
      <c r="F6" s="8">
        <v>30</v>
      </c>
      <c r="G6" s="31">
        <f>(F6*E6)/D6</f>
        <v>1.9024390243902438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151</v>
      </c>
      <c r="B7" s="140"/>
      <c r="C7" s="141"/>
      <c r="D7" s="7">
        <v>12</v>
      </c>
      <c r="E7" s="30">
        <v>6.4</v>
      </c>
      <c r="F7" s="8">
        <v>1</v>
      </c>
      <c r="G7" s="31">
        <f t="shared" ref="G7:G17" si="0">(F7*E7)/D7</f>
        <v>0.53333333333333333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79</v>
      </c>
      <c r="B8" s="140"/>
      <c r="C8" s="141"/>
      <c r="D8" s="7">
        <v>1000</v>
      </c>
      <c r="E8" s="30">
        <v>6</v>
      </c>
      <c r="F8" s="8">
        <v>22</v>
      </c>
      <c r="G8" s="31">
        <f t="shared" si="0"/>
        <v>0.13200000000000001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/>
      <c r="H9" s="4"/>
      <c r="J9" s="4"/>
      <c r="K9" s="5"/>
    </row>
    <row r="10" spans="1:14" ht="15" customHeight="1" x14ac:dyDescent="0.25">
      <c r="A10" s="139" t="s">
        <v>148</v>
      </c>
      <c r="B10" s="140"/>
      <c r="C10" s="141"/>
      <c r="D10" s="7">
        <v>800</v>
      </c>
      <c r="E10" s="8">
        <v>29</v>
      </c>
      <c r="F10" s="8">
        <v>15</v>
      </c>
      <c r="G10" s="31">
        <f t="shared" si="0"/>
        <v>0.54374999999999996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>
        <v>1</v>
      </c>
      <c r="E11" s="8"/>
      <c r="F11" s="8"/>
      <c r="G11" s="31">
        <f t="shared" si="0"/>
        <v>0</v>
      </c>
      <c r="H11" s="4"/>
      <c r="I11" s="21" t="s">
        <v>20</v>
      </c>
      <c r="J11" s="22"/>
      <c r="K11" s="22"/>
      <c r="L11" s="23">
        <f>K7*J3</f>
        <v>0.99166666666666659</v>
      </c>
    </row>
    <row r="12" spans="1:14" ht="15" customHeight="1" x14ac:dyDescent="0.25">
      <c r="A12" s="139"/>
      <c r="B12" s="140"/>
      <c r="C12" s="141"/>
      <c r="D12" s="7">
        <v>1</v>
      </c>
      <c r="E12" s="8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3.1115223577235769</v>
      </c>
    </row>
    <row r="13" spans="1:14" ht="15" customHeight="1" x14ac:dyDescent="0.25">
      <c r="A13" s="139"/>
      <c r="B13" s="140"/>
      <c r="C13" s="141"/>
      <c r="D13" s="7">
        <v>1</v>
      </c>
      <c r="E13" s="8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4.2613636363636367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8.3645526607538798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28</v>
      </c>
      <c r="J15" s="6"/>
      <c r="K15" s="6"/>
      <c r="L15" s="20">
        <f>L14*1</f>
        <v>8.3645526607538798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16.72910532150776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3.1115223577235769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8BBC-B49A-43FE-B64C-4ECA0DF829CE}">
  <sheetPr>
    <tabColor theme="8" tint="-0.249977111117893"/>
  </sheetPr>
  <dimension ref="A1:N32"/>
  <sheetViews>
    <sheetView showGridLines="0" topLeftCell="A13" workbookViewId="0">
      <selection activeCell="J4" sqref="J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152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150</v>
      </c>
      <c r="B6" s="140"/>
      <c r="C6" s="141"/>
      <c r="D6" s="7">
        <v>2050</v>
      </c>
      <c r="E6" s="30">
        <v>200</v>
      </c>
      <c r="F6" s="8">
        <v>20</v>
      </c>
      <c r="G6" s="31">
        <f>(F6*E6)/D6</f>
        <v>1.9512195121951219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151</v>
      </c>
      <c r="B7" s="140"/>
      <c r="C7" s="141"/>
      <c r="D7" s="7">
        <v>12</v>
      </c>
      <c r="E7" s="30">
        <v>6.4</v>
      </c>
      <c r="F7" s="8">
        <v>1</v>
      </c>
      <c r="G7" s="31">
        <f t="shared" ref="G7:G17" si="0">(F7*E7)/D7</f>
        <v>0.53333333333333333</v>
      </c>
      <c r="H7" s="4"/>
      <c r="I7" s="152" t="s">
        <v>13</v>
      </c>
      <c r="J7" s="153"/>
      <c r="K7" s="132">
        <f>Custos!F15</f>
        <v>2.2037037037037036E-2</v>
      </c>
    </row>
    <row r="8" spans="1:14" ht="15" customHeight="1" x14ac:dyDescent="0.25">
      <c r="A8" s="139" t="s">
        <v>79</v>
      </c>
      <c r="B8" s="140"/>
      <c r="C8" s="141"/>
      <c r="D8" s="7">
        <v>1000</v>
      </c>
      <c r="E8" s="30">
        <v>6</v>
      </c>
      <c r="F8" s="8">
        <v>22</v>
      </c>
      <c r="G8" s="31">
        <f t="shared" si="0"/>
        <v>0.13200000000000001</v>
      </c>
      <c r="H8" s="4"/>
      <c r="I8" s="152" t="s">
        <v>15</v>
      </c>
      <c r="J8" s="153"/>
      <c r="K8" s="19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/>
      <c r="H9" s="4"/>
      <c r="J9" s="4"/>
      <c r="K9" s="5"/>
    </row>
    <row r="10" spans="1:14" ht="15" customHeight="1" x14ac:dyDescent="0.25">
      <c r="A10" s="139" t="s">
        <v>148</v>
      </c>
      <c r="B10" s="140"/>
      <c r="C10" s="141"/>
      <c r="D10" s="7">
        <v>800</v>
      </c>
      <c r="E10" s="8">
        <v>29</v>
      </c>
      <c r="F10" s="8">
        <v>15</v>
      </c>
      <c r="G10" s="31">
        <f t="shared" si="0"/>
        <v>0.54374999999999996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>
        <v>1</v>
      </c>
      <c r="E11" s="8"/>
      <c r="F11" s="8"/>
      <c r="G11" s="31">
        <f t="shared" si="0"/>
        <v>0</v>
      </c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>
        <v>1</v>
      </c>
      <c r="E12" s="8"/>
      <c r="F12" s="8"/>
      <c r="G12" s="31">
        <f t="shared" si="0"/>
        <v>0</v>
      </c>
      <c r="H12" s="4"/>
      <c r="I12" s="24" t="s">
        <v>22</v>
      </c>
      <c r="J12" s="4"/>
      <c r="K12" s="4"/>
      <c r="L12" s="25">
        <f>G18</f>
        <v>3.160302845528455</v>
      </c>
    </row>
    <row r="13" spans="1:14" ht="15" customHeight="1" x14ac:dyDescent="0.25">
      <c r="A13" s="139"/>
      <c r="B13" s="140"/>
      <c r="C13" s="141"/>
      <c r="D13" s="7">
        <v>1</v>
      </c>
      <c r="E13" s="8"/>
      <c r="F13" s="8"/>
      <c r="G13" s="31">
        <f t="shared" si="0"/>
        <v>0</v>
      </c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>
        <v>1</v>
      </c>
      <c r="E14" s="8"/>
      <c r="F14" s="8"/>
      <c r="G14" s="31">
        <f t="shared" si="0"/>
        <v>0</v>
      </c>
      <c r="H14" s="4"/>
      <c r="I14" s="73" t="s">
        <v>26</v>
      </c>
      <c r="J14" s="74"/>
      <c r="K14" s="74"/>
      <c r="L14" s="75">
        <f>SUM(L11:L13)</f>
        <v>4.9113129465385565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28</v>
      </c>
      <c r="J15" s="6"/>
      <c r="K15" s="6"/>
      <c r="L15" s="20">
        <f>L14*1</f>
        <v>4.9113129465385565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76" t="s">
        <v>29</v>
      </c>
      <c r="J16" s="77"/>
      <c r="K16" s="78"/>
      <c r="L16" s="79">
        <f>SUM(L14:L15)</f>
        <v>9.8226258930771131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31">
        <f>SUM(G6:G10)</f>
        <v>3.160302845528455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2EAB-E6FB-2046-B199-61D3735B3CA7}">
  <sheetPr>
    <tabColor theme="5" tint="-0.499984740745262"/>
  </sheetPr>
  <dimension ref="A1:N32"/>
  <sheetViews>
    <sheetView showGridLines="0" zoomScaleNormal="100" workbookViewId="0">
      <selection activeCell="E34" sqref="E3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290</v>
      </c>
      <c r="C3" s="144"/>
      <c r="D3" s="145"/>
      <c r="E3" s="3" t="s">
        <v>3</v>
      </c>
      <c r="F3" s="112">
        <v>50</v>
      </c>
      <c r="G3" s="9"/>
      <c r="H3" s="3" t="s">
        <v>4</v>
      </c>
      <c r="I3" s="6"/>
      <c r="J3" s="9">
        <v>180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56</v>
      </c>
      <c r="B6" s="140"/>
      <c r="C6" s="141"/>
      <c r="D6" s="7">
        <v>395</v>
      </c>
      <c r="E6" s="8">
        <v>7</v>
      </c>
      <c r="F6" s="8">
        <v>790</v>
      </c>
      <c r="G6" s="31">
        <f>(F6*E6)/D6</f>
        <v>14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66</v>
      </c>
      <c r="B7" s="140"/>
      <c r="C7" s="141"/>
      <c r="D7" s="7">
        <v>200</v>
      </c>
      <c r="E7" s="8">
        <v>3.5</v>
      </c>
      <c r="F7" s="8">
        <v>400</v>
      </c>
      <c r="G7" s="31">
        <f t="shared" ref="G7:G17" si="0">(F7*E7)/D7</f>
        <v>7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63</v>
      </c>
      <c r="B8" s="140"/>
      <c r="C8" s="141"/>
      <c r="D8" s="7">
        <v>1000</v>
      </c>
      <c r="E8" s="8">
        <v>40</v>
      </c>
      <c r="F8" s="8">
        <v>180</v>
      </c>
      <c r="G8" s="31">
        <f t="shared" si="0"/>
        <v>7.2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67</v>
      </c>
      <c r="B9" s="140"/>
      <c r="C9" s="141"/>
      <c r="D9" s="7">
        <v>1000</v>
      </c>
      <c r="E9" s="8">
        <v>15</v>
      </c>
      <c r="F9" s="8">
        <v>30</v>
      </c>
      <c r="G9" s="31">
        <f t="shared" si="0"/>
        <v>0.45</v>
      </c>
      <c r="H9" s="4"/>
      <c r="J9" s="4"/>
      <c r="K9" s="5"/>
    </row>
    <row r="10" spans="1:14" ht="15" customHeight="1" x14ac:dyDescent="0.25">
      <c r="A10" s="139" t="s">
        <v>154</v>
      </c>
      <c r="B10" s="140"/>
      <c r="C10" s="141"/>
      <c r="D10" s="7">
        <v>650</v>
      </c>
      <c r="E10" s="8">
        <v>40</v>
      </c>
      <c r="F10" s="8">
        <v>400</v>
      </c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27</v>
      </c>
      <c r="B11" s="140"/>
      <c r="C11" s="141"/>
      <c r="D11" s="7">
        <v>1</v>
      </c>
      <c r="E11" s="8">
        <v>5</v>
      </c>
      <c r="F11" s="8">
        <v>1</v>
      </c>
      <c r="G11" s="31"/>
      <c r="H11" s="4"/>
      <c r="I11" s="21" t="s">
        <v>20</v>
      </c>
      <c r="J11" s="22"/>
      <c r="K11" s="22"/>
      <c r="L11" s="23">
        <f>K7*J3</f>
        <v>3.9666666666666663</v>
      </c>
    </row>
    <row r="12" spans="1:14" ht="15" customHeight="1" x14ac:dyDescent="0.25">
      <c r="A12" s="139" t="s">
        <v>155</v>
      </c>
      <c r="B12" s="140"/>
      <c r="C12" s="141"/>
      <c r="D12" s="7">
        <v>100</v>
      </c>
      <c r="E12" s="8">
        <v>5</v>
      </c>
      <c r="F12" s="8">
        <v>50</v>
      </c>
      <c r="G12" s="31">
        <f>(F12*E12)/D12</f>
        <v>2.5</v>
      </c>
      <c r="H12" s="4"/>
      <c r="I12" s="24" t="s">
        <v>22</v>
      </c>
      <c r="J12" s="4"/>
      <c r="K12" s="4"/>
      <c r="L12" s="25">
        <f>G18</f>
        <v>61.204878048780486</v>
      </c>
    </row>
    <row r="13" spans="1:14" ht="15" customHeight="1" x14ac:dyDescent="0.25">
      <c r="A13" s="139" t="s">
        <v>115</v>
      </c>
      <c r="B13" s="140"/>
      <c r="C13" s="141"/>
      <c r="D13" s="7">
        <v>400</v>
      </c>
      <c r="E13" s="8">
        <v>35</v>
      </c>
      <c r="F13" s="8">
        <v>300</v>
      </c>
      <c r="G13" s="31">
        <f>(F13*E13)/D13</f>
        <v>26.25</v>
      </c>
      <c r="H13" s="4"/>
      <c r="I13" s="26" t="s">
        <v>24</v>
      </c>
      <c r="J13" s="27"/>
      <c r="K13" s="27"/>
      <c r="L13" s="28">
        <f>K8*J3</f>
        <v>17.045454545454547</v>
      </c>
    </row>
    <row r="14" spans="1:14" ht="15" customHeight="1" x14ac:dyDescent="0.25">
      <c r="A14" s="139" t="s">
        <v>133</v>
      </c>
      <c r="B14" s="140"/>
      <c r="C14" s="141"/>
      <c r="D14" s="7">
        <v>1</v>
      </c>
      <c r="E14" s="8">
        <v>7</v>
      </c>
      <c r="F14" s="8">
        <v>1</v>
      </c>
      <c r="G14" s="31"/>
      <c r="H14" s="4"/>
      <c r="I14" s="73" t="s">
        <v>26</v>
      </c>
      <c r="J14" s="74"/>
      <c r="K14" s="74"/>
      <c r="L14" s="75">
        <f>SUM(L11+L12+L13)</f>
        <v>82.216999260901702</v>
      </c>
    </row>
    <row r="15" spans="1:14" ht="15" customHeight="1" x14ac:dyDescent="0.25">
      <c r="A15" s="139" t="s">
        <v>139</v>
      </c>
      <c r="B15" s="140"/>
      <c r="C15" s="141"/>
      <c r="D15" s="7">
        <v>2050</v>
      </c>
      <c r="E15" s="8">
        <v>65</v>
      </c>
      <c r="F15" s="8">
        <v>120</v>
      </c>
      <c r="G15" s="31">
        <f t="shared" si="0"/>
        <v>3.8048780487804876</v>
      </c>
      <c r="H15" s="4"/>
      <c r="I15" s="3" t="s">
        <v>28</v>
      </c>
      <c r="J15" s="6"/>
      <c r="K15" s="6"/>
      <c r="L15" s="20">
        <f>L14*0.3</f>
        <v>24.665099778270509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3" t="s">
        <v>32</v>
      </c>
      <c r="J16" s="6"/>
      <c r="K16" s="6"/>
      <c r="L16" s="124">
        <f>L14*0.5</f>
        <v>41.108499630450851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82.216999260901702</v>
      </c>
    </row>
    <row r="18" spans="1:12" ht="15" customHeight="1" x14ac:dyDescent="0.25">
      <c r="E18" s="10" t="s">
        <v>31</v>
      </c>
      <c r="F18" s="11"/>
      <c r="G18" s="12">
        <f>SUM(G6:G17)</f>
        <v>61.204878048780486</v>
      </c>
      <c r="H18" s="4"/>
    </row>
    <row r="19" spans="1:12" ht="15" customHeight="1" x14ac:dyDescent="0.25">
      <c r="E19" s="10" t="s">
        <v>47</v>
      </c>
      <c r="F19" s="11"/>
      <c r="G19" s="12">
        <f>G18/F3</f>
        <v>1.2240975609756097</v>
      </c>
      <c r="H19" s="4"/>
      <c r="I19" s="76" t="s">
        <v>34</v>
      </c>
      <c r="J19" s="77"/>
      <c r="K19" s="78"/>
      <c r="L19" s="79">
        <f>L14+L15</f>
        <v>106.8820990391722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123.32549889135255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164.4339985218034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143.4218773096822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2.8684375461936442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-0.499984740745262"/>
  </sheetPr>
  <dimension ref="A1:N32"/>
  <sheetViews>
    <sheetView showGridLines="0" topLeftCell="G1" workbookViewId="0">
      <selection activeCell="J3" sqref="J3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153</v>
      </c>
      <c r="C3" s="144"/>
      <c r="D3" s="145"/>
      <c r="E3" s="3" t="s">
        <v>3</v>
      </c>
      <c r="F3" s="112">
        <v>50</v>
      </c>
      <c r="G3" s="9"/>
      <c r="H3" s="3" t="s">
        <v>4</v>
      </c>
      <c r="I3" s="6"/>
      <c r="J3" s="9">
        <v>180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56</v>
      </c>
      <c r="B6" s="140"/>
      <c r="C6" s="141"/>
      <c r="D6" s="7">
        <v>395</v>
      </c>
      <c r="E6" s="8">
        <v>7</v>
      </c>
      <c r="F6" s="8">
        <v>395</v>
      </c>
      <c r="G6" s="31">
        <f>(F6*E6)/D6</f>
        <v>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66</v>
      </c>
      <c r="B7" s="140"/>
      <c r="C7" s="141"/>
      <c r="D7" s="7">
        <v>200</v>
      </c>
      <c r="E7" s="8">
        <v>3.5</v>
      </c>
      <c r="F7" s="8">
        <v>200</v>
      </c>
      <c r="G7" s="31">
        <f t="shared" ref="G7:G17" si="0">(F7*E7)/D7</f>
        <v>3.5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63</v>
      </c>
      <c r="B8" s="140"/>
      <c r="C8" s="141"/>
      <c r="D8" s="7">
        <v>1000</v>
      </c>
      <c r="E8" s="8">
        <v>40</v>
      </c>
      <c r="F8" s="8">
        <v>90</v>
      </c>
      <c r="G8" s="31">
        <f t="shared" si="0"/>
        <v>3.6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67</v>
      </c>
      <c r="B9" s="140"/>
      <c r="C9" s="141"/>
      <c r="D9" s="7">
        <v>1000</v>
      </c>
      <c r="E9" s="8">
        <v>15</v>
      </c>
      <c r="F9" s="8">
        <v>15</v>
      </c>
      <c r="G9" s="31">
        <f t="shared" si="0"/>
        <v>0.22500000000000001</v>
      </c>
      <c r="H9" s="4"/>
      <c r="J9" s="4"/>
      <c r="K9" s="5"/>
    </row>
    <row r="10" spans="1:14" ht="15" customHeight="1" x14ac:dyDescent="0.25">
      <c r="A10" s="139" t="s">
        <v>154</v>
      </c>
      <c r="B10" s="140"/>
      <c r="C10" s="141"/>
      <c r="D10" s="7">
        <v>650</v>
      </c>
      <c r="E10" s="8">
        <v>40</v>
      </c>
      <c r="F10" s="8">
        <v>400</v>
      </c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27</v>
      </c>
      <c r="B11" s="140"/>
      <c r="C11" s="141"/>
      <c r="D11" s="7">
        <v>1</v>
      </c>
      <c r="E11" s="8">
        <v>5</v>
      </c>
      <c r="F11" s="8">
        <v>1</v>
      </c>
      <c r="G11" s="31">
        <v>5</v>
      </c>
      <c r="H11" s="4"/>
      <c r="I11" s="21" t="s">
        <v>20</v>
      </c>
      <c r="J11" s="22"/>
      <c r="K11" s="22"/>
      <c r="L11" s="23">
        <f>K7*J3</f>
        <v>3.9666666666666663</v>
      </c>
    </row>
    <row r="12" spans="1:14" ht="15" customHeight="1" x14ac:dyDescent="0.25">
      <c r="A12" s="139" t="s">
        <v>155</v>
      </c>
      <c r="B12" s="140"/>
      <c r="C12" s="141"/>
      <c r="D12" s="7">
        <v>50</v>
      </c>
      <c r="E12" s="8">
        <v>2.6</v>
      </c>
      <c r="F12" s="8">
        <v>50</v>
      </c>
      <c r="G12" s="31">
        <f>(F12*E12)/D12</f>
        <v>2.6</v>
      </c>
      <c r="H12" s="4"/>
      <c r="I12" s="24" t="s">
        <v>22</v>
      </c>
      <c r="J12" s="4"/>
      <c r="K12" s="4"/>
      <c r="L12" s="25">
        <f>G18</f>
        <v>41.924999999999997</v>
      </c>
    </row>
    <row r="13" spans="1:14" ht="15" customHeight="1" x14ac:dyDescent="0.25">
      <c r="A13" s="139" t="s">
        <v>115</v>
      </c>
      <c r="B13" s="140"/>
      <c r="C13" s="141"/>
      <c r="D13" s="7">
        <v>400</v>
      </c>
      <c r="E13" s="8">
        <v>50</v>
      </c>
      <c r="F13" s="8">
        <v>150</v>
      </c>
      <c r="G13" s="31">
        <f>(13*E13)/E13</f>
        <v>13</v>
      </c>
      <c r="H13" s="4"/>
      <c r="I13" s="26" t="s">
        <v>24</v>
      </c>
      <c r="J13" s="27"/>
      <c r="K13" s="27"/>
      <c r="L13" s="28">
        <f>K8*J3</f>
        <v>17.045454545454547</v>
      </c>
    </row>
    <row r="14" spans="1:14" ht="15" customHeight="1" x14ac:dyDescent="0.25">
      <c r="A14" s="139" t="s">
        <v>133</v>
      </c>
      <c r="B14" s="140"/>
      <c r="C14" s="141"/>
      <c r="D14" s="7">
        <v>1</v>
      </c>
      <c r="E14" s="8">
        <v>7</v>
      </c>
      <c r="F14" s="8">
        <v>1</v>
      </c>
      <c r="G14" s="31">
        <v>7</v>
      </c>
      <c r="H14" s="4"/>
      <c r="I14" s="73" t="s">
        <v>26</v>
      </c>
      <c r="J14" s="74"/>
      <c r="K14" s="74"/>
      <c r="L14" s="75">
        <f>SUM(L11+L12+L13)</f>
        <v>62.937121212121212</v>
      </c>
    </row>
    <row r="15" spans="1:14" ht="15" customHeight="1" x14ac:dyDescent="0.25">
      <c r="A15" s="139"/>
      <c r="B15" s="140"/>
      <c r="C15" s="141"/>
      <c r="D15" s="7">
        <v>1</v>
      </c>
      <c r="E15" s="8"/>
      <c r="F15" s="8"/>
      <c r="G15" s="31">
        <f t="shared" si="0"/>
        <v>0</v>
      </c>
      <c r="H15" s="4"/>
      <c r="I15" s="3" t="s">
        <v>28</v>
      </c>
      <c r="J15" s="6"/>
      <c r="K15" s="6"/>
      <c r="L15" s="20">
        <f>L14*0.3</f>
        <v>18.881136363636362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3" t="s">
        <v>32</v>
      </c>
      <c r="J16" s="6"/>
      <c r="K16" s="6"/>
      <c r="L16" s="124">
        <f>L14*0.5</f>
        <v>31.468560606060606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62.937121212121212</v>
      </c>
    </row>
    <row r="18" spans="1:12" ht="15" customHeight="1" x14ac:dyDescent="0.25">
      <c r="E18" s="10" t="s">
        <v>31</v>
      </c>
      <c r="F18" s="11"/>
      <c r="G18" s="12">
        <f>SUM(G6:G17)</f>
        <v>41.924999999999997</v>
      </c>
      <c r="H18" s="4"/>
    </row>
    <row r="19" spans="1:12" ht="15" customHeight="1" x14ac:dyDescent="0.25">
      <c r="E19" s="10" t="s">
        <v>47</v>
      </c>
      <c r="F19" s="11"/>
      <c r="G19" s="12">
        <f>G18/F3</f>
        <v>0.83849999999999991</v>
      </c>
      <c r="H19" s="4"/>
      <c r="I19" s="76" t="s">
        <v>34</v>
      </c>
      <c r="J19" s="77"/>
      <c r="K19" s="78"/>
      <c r="L19" s="79">
        <f>L14+L15</f>
        <v>81.818257575757571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94.405681818181819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125.87424242424242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104.86212121212121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2.0972424242424244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C427-AFBA-4135-A5AB-1499EB174DAB}">
  <sheetPr>
    <tabColor rgb="FFFF0000"/>
  </sheetPr>
  <dimension ref="A1:N32"/>
  <sheetViews>
    <sheetView showGridLines="0" workbookViewId="0">
      <selection activeCell="F9" sqref="F9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277</v>
      </c>
      <c r="C3" s="144"/>
      <c r="D3" s="145"/>
      <c r="E3" s="3" t="s">
        <v>3</v>
      </c>
      <c r="F3" s="112">
        <v>12</v>
      </c>
      <c r="G3" s="9"/>
      <c r="H3" s="3" t="s">
        <v>4</v>
      </c>
      <c r="I3" s="6"/>
      <c r="J3" s="9">
        <v>180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278</v>
      </c>
      <c r="B6" s="140"/>
      <c r="C6" s="141"/>
      <c r="D6" s="7">
        <v>500</v>
      </c>
      <c r="E6" s="8">
        <v>18</v>
      </c>
      <c r="F6" s="8">
        <v>500</v>
      </c>
      <c r="G6" s="31">
        <f>(F6*E6)/D6</f>
        <v>18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279</v>
      </c>
      <c r="B7" s="140"/>
      <c r="C7" s="141"/>
      <c r="D7" s="7">
        <v>10</v>
      </c>
      <c r="E7" s="8">
        <v>20</v>
      </c>
      <c r="F7" s="8">
        <v>10</v>
      </c>
      <c r="G7" s="31">
        <f t="shared" ref="G7:G17" si="0">(F7*E7)/D7</f>
        <v>20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280</v>
      </c>
      <c r="B8" s="140"/>
      <c r="C8" s="141"/>
      <c r="D8" s="7">
        <v>50</v>
      </c>
      <c r="E8" s="8">
        <v>5</v>
      </c>
      <c r="F8" s="8">
        <v>10</v>
      </c>
      <c r="G8" s="31">
        <f t="shared" si="0"/>
        <v>1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284</v>
      </c>
      <c r="B9" s="140"/>
      <c r="C9" s="141"/>
      <c r="D9" s="7">
        <v>10</v>
      </c>
      <c r="E9" s="8">
        <v>5</v>
      </c>
      <c r="F9" s="8">
        <v>10</v>
      </c>
      <c r="G9" s="31">
        <f t="shared" si="0"/>
        <v>5</v>
      </c>
      <c r="H9" s="4"/>
      <c r="J9" s="4"/>
      <c r="K9" s="5"/>
    </row>
    <row r="10" spans="1:14" ht="15" customHeight="1" x14ac:dyDescent="0.25">
      <c r="A10" s="139" t="s">
        <v>45</v>
      </c>
      <c r="B10" s="140"/>
      <c r="C10" s="141"/>
      <c r="D10" s="7">
        <v>1000</v>
      </c>
      <c r="E10" s="8">
        <v>100</v>
      </c>
      <c r="F10" s="8">
        <v>10</v>
      </c>
      <c r="G10" s="31">
        <f t="shared" si="0"/>
        <v>1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 t="s">
        <v>12</v>
      </c>
      <c r="B11" s="140"/>
      <c r="C11" s="141"/>
      <c r="D11" s="7">
        <v>1000</v>
      </c>
      <c r="E11" s="8">
        <v>5</v>
      </c>
      <c r="F11" s="8">
        <v>350</v>
      </c>
      <c r="G11" s="31">
        <f t="shared" si="0"/>
        <v>1.75</v>
      </c>
      <c r="H11" s="4"/>
      <c r="I11" s="21" t="s">
        <v>20</v>
      </c>
      <c r="J11" s="22"/>
      <c r="K11" s="22"/>
      <c r="L11" s="23">
        <f>K7*J3</f>
        <v>3.9666666666666663</v>
      </c>
    </row>
    <row r="12" spans="1:14" ht="15" customHeight="1" x14ac:dyDescent="0.25">
      <c r="A12" s="139" t="s">
        <v>19</v>
      </c>
      <c r="B12" s="140"/>
      <c r="C12" s="141"/>
      <c r="D12" s="7">
        <v>1000</v>
      </c>
      <c r="E12" s="8">
        <v>3</v>
      </c>
      <c r="F12" s="8">
        <v>130</v>
      </c>
      <c r="G12" s="31">
        <f>(F12*E12)/D12</f>
        <v>0.39</v>
      </c>
      <c r="H12" s="4"/>
      <c r="I12" s="24" t="s">
        <v>22</v>
      </c>
      <c r="J12" s="4"/>
      <c r="K12" s="4"/>
      <c r="L12" s="25">
        <f>G18</f>
        <v>48.492000000000004</v>
      </c>
    </row>
    <row r="13" spans="1:14" ht="15" customHeight="1" x14ac:dyDescent="0.25">
      <c r="A13" s="139" t="s">
        <v>281</v>
      </c>
      <c r="B13" s="140"/>
      <c r="C13" s="141"/>
      <c r="D13" s="7">
        <v>750</v>
      </c>
      <c r="E13" s="8">
        <v>5</v>
      </c>
      <c r="F13" s="8">
        <v>33</v>
      </c>
      <c r="G13" s="31">
        <f>(F13*E13)/D13</f>
        <v>0.22</v>
      </c>
      <c r="H13" s="4"/>
      <c r="I13" s="26" t="s">
        <v>24</v>
      </c>
      <c r="J13" s="27"/>
      <c r="K13" s="27"/>
      <c r="L13" s="28">
        <f>K8*J3</f>
        <v>17.045454545454547</v>
      </c>
    </row>
    <row r="14" spans="1:14" ht="15" customHeight="1" x14ac:dyDescent="0.25">
      <c r="A14" s="139" t="s">
        <v>282</v>
      </c>
      <c r="B14" s="140"/>
      <c r="C14" s="141"/>
      <c r="D14" s="7">
        <v>250</v>
      </c>
      <c r="E14" s="8">
        <v>8</v>
      </c>
      <c r="F14" s="8">
        <v>16</v>
      </c>
      <c r="G14" s="31">
        <f t="shared" si="0"/>
        <v>0.51200000000000001</v>
      </c>
      <c r="H14" s="4"/>
      <c r="I14" s="73" t="s">
        <v>26</v>
      </c>
      <c r="J14" s="74"/>
      <c r="K14" s="74"/>
      <c r="L14" s="75">
        <f>SUM(L11+L12+L13)</f>
        <v>69.50412121212122</v>
      </c>
    </row>
    <row r="15" spans="1:14" ht="15" customHeight="1" x14ac:dyDescent="0.25">
      <c r="A15" s="139" t="s">
        <v>283</v>
      </c>
      <c r="B15" s="140"/>
      <c r="C15" s="141"/>
      <c r="D15" s="7">
        <v>50</v>
      </c>
      <c r="E15" s="8">
        <v>7</v>
      </c>
      <c r="F15" s="8">
        <v>3</v>
      </c>
      <c r="G15" s="31">
        <f t="shared" si="0"/>
        <v>0.42</v>
      </c>
      <c r="H15" s="4"/>
      <c r="I15" s="3" t="s">
        <v>28</v>
      </c>
      <c r="J15" s="6"/>
      <c r="K15" s="6"/>
      <c r="L15" s="20">
        <f>L14*0.3</f>
        <v>20.851236363636364</v>
      </c>
    </row>
    <row r="16" spans="1:14" ht="15" customHeight="1" x14ac:dyDescent="0.25">
      <c r="A16" s="139" t="s">
        <v>124</v>
      </c>
      <c r="B16" s="140"/>
      <c r="C16" s="141"/>
      <c r="D16" s="7">
        <v>25</v>
      </c>
      <c r="E16" s="8">
        <v>5</v>
      </c>
      <c r="F16" s="8">
        <v>1</v>
      </c>
      <c r="G16" s="31">
        <f t="shared" si="0"/>
        <v>0.2</v>
      </c>
      <c r="H16" s="4"/>
      <c r="I16" s="3" t="s">
        <v>32</v>
      </c>
      <c r="J16" s="6"/>
      <c r="K16" s="6"/>
      <c r="L16" s="124">
        <f>L14*0.5</f>
        <v>34.75206060606061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69.50412121212122</v>
      </c>
    </row>
    <row r="18" spans="1:12" ht="15" customHeight="1" x14ac:dyDescent="0.25">
      <c r="E18" s="10" t="s">
        <v>31</v>
      </c>
      <c r="F18" s="11"/>
      <c r="G18" s="12">
        <f>SUM(G6:G17)</f>
        <v>48.492000000000004</v>
      </c>
      <c r="H18" s="4"/>
    </row>
    <row r="19" spans="1:12" ht="15" customHeight="1" x14ac:dyDescent="0.25">
      <c r="E19" s="10" t="s">
        <v>47</v>
      </c>
      <c r="F19" s="11"/>
      <c r="G19" s="12">
        <f>G18/F3</f>
        <v>4.0410000000000004</v>
      </c>
      <c r="H19" s="4"/>
      <c r="I19" s="76" t="s">
        <v>34</v>
      </c>
      <c r="J19" s="77"/>
      <c r="K19" s="78"/>
      <c r="L19" s="79">
        <f>L14+L15</f>
        <v>90.35535757575758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104.25618181818183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139.00824242424244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G18+L14</f>
        <v>117.99612121212122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9.8330101010101014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01D3-B8EC-45C1-AEBE-C9E443521279}">
  <sheetPr>
    <tabColor rgb="FFFFC7E3"/>
  </sheetPr>
  <dimension ref="A1:N32"/>
  <sheetViews>
    <sheetView showGridLines="0" topLeftCell="N1" workbookViewId="0">
      <selection activeCell="E7" sqref="E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161</v>
      </c>
      <c r="C3" s="144"/>
      <c r="D3" s="145"/>
      <c r="E3" s="3" t="s">
        <v>3</v>
      </c>
      <c r="F3" s="112">
        <v>1</v>
      </c>
      <c r="G3" s="9"/>
      <c r="H3" s="3" t="s">
        <v>4</v>
      </c>
      <c r="I3" s="6"/>
      <c r="J3" s="9">
        <v>10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162</v>
      </c>
      <c r="B6" s="140"/>
      <c r="C6" s="141"/>
      <c r="D6" s="7">
        <v>2050</v>
      </c>
      <c r="E6" s="8">
        <v>100</v>
      </c>
      <c r="F6" s="8">
        <v>300</v>
      </c>
      <c r="G6" s="31">
        <f>(F6*E6)/D6</f>
        <v>14.634146341463415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66</v>
      </c>
      <c r="B7" s="140"/>
      <c r="C7" s="141"/>
      <c r="D7" s="7">
        <v>200</v>
      </c>
      <c r="E7" s="8">
        <v>4</v>
      </c>
      <c r="F7" s="8">
        <v>200</v>
      </c>
      <c r="G7" s="31">
        <f>(F7*E7)/D7</f>
        <v>4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/>
      <c r="B8" s="140"/>
      <c r="C8" s="141"/>
      <c r="D8" s="7"/>
      <c r="E8" s="8"/>
      <c r="F8" s="8"/>
      <c r="G8" s="31"/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/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0.22037037037037036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18.634146341463413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0.94696969696969713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19.801486408803481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5.940445922641044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ref="G16:G17" si="0">(F16*E16)/D16</f>
        <v>0</v>
      </c>
      <c r="H16" s="4"/>
      <c r="I16" s="3" t="s">
        <v>32</v>
      </c>
      <c r="J16" s="6"/>
      <c r="K16" s="6"/>
      <c r="L16" s="124">
        <f>L14*0.5</f>
        <v>9.9007432044017403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19.801486408803481</v>
      </c>
    </row>
    <row r="18" spans="1:12" ht="15" customHeight="1" x14ac:dyDescent="0.25">
      <c r="E18" s="10" t="s">
        <v>31</v>
      </c>
      <c r="F18" s="11"/>
      <c r="G18" s="31">
        <f>SUM(G6:G13)</f>
        <v>18.634146341463413</v>
      </c>
      <c r="H18" s="4"/>
    </row>
    <row r="19" spans="1:12" ht="15" customHeight="1" x14ac:dyDescent="0.25">
      <c r="E19" s="10" t="s">
        <v>47</v>
      </c>
      <c r="F19" s="11"/>
      <c r="G19" s="12">
        <f>G18/F3</f>
        <v>18.634146341463413</v>
      </c>
      <c r="H19" s="4"/>
      <c r="I19" s="76" t="s">
        <v>34</v>
      </c>
      <c r="J19" s="77"/>
      <c r="K19" s="78"/>
      <c r="L19" s="79">
        <f>L14+L15</f>
        <v>25.741932331444524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29.702229613205219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39.602972817606961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G18+'Recheio trufa tradicional (2)'!L1</f>
        <v>18.634146341463413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18.634146341463413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F16E-E51A-407C-BD8B-0618AADAF9D0}">
  <sheetPr>
    <tabColor theme="5" tint="-0.499984740745262"/>
  </sheetPr>
  <dimension ref="A1:N32"/>
  <sheetViews>
    <sheetView showGridLines="0" workbookViewId="0">
      <selection activeCell="E9" sqref="E9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285</v>
      </c>
      <c r="C3" s="144"/>
      <c r="D3" s="145"/>
      <c r="E3" s="3" t="s">
        <v>3</v>
      </c>
      <c r="F3" s="112">
        <v>500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56</v>
      </c>
      <c r="B6" s="140"/>
      <c r="C6" s="141"/>
      <c r="D6" s="7">
        <v>395</v>
      </c>
      <c r="E6" s="8">
        <v>7</v>
      </c>
      <c r="F6" s="8">
        <v>395</v>
      </c>
      <c r="G6" s="31">
        <f>(F6*E6)/D6</f>
        <v>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66</v>
      </c>
      <c r="B7" s="140"/>
      <c r="C7" s="141"/>
      <c r="D7" s="7">
        <v>200</v>
      </c>
      <c r="E7" s="8">
        <v>3.5</v>
      </c>
      <c r="F7" s="8">
        <v>200</v>
      </c>
      <c r="G7" s="31">
        <f>(F7*E7)/D7</f>
        <v>3.5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286</v>
      </c>
      <c r="B8" s="140"/>
      <c r="C8" s="141"/>
      <c r="D8" s="7">
        <v>975</v>
      </c>
      <c r="E8" s="8">
        <v>60</v>
      </c>
      <c r="F8" s="8">
        <v>90</v>
      </c>
      <c r="G8" s="31">
        <f>(F8*E8)/D8</f>
        <v>5.5384615384615383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67</v>
      </c>
      <c r="B9" s="140"/>
      <c r="C9" s="141"/>
      <c r="D9" s="7">
        <v>1000</v>
      </c>
      <c r="E9" s="8">
        <v>15</v>
      </c>
      <c r="F9" s="8">
        <v>15</v>
      </c>
      <c r="G9" s="31">
        <v>0.23</v>
      </c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16.268461538461541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18.019471639471643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5.4058414918414925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9.0097358197358215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18.019471639471643</v>
      </c>
    </row>
    <row r="18" spans="1:12" ht="15" customHeight="1" x14ac:dyDescent="0.25">
      <c r="E18" s="10" t="s">
        <v>31</v>
      </c>
      <c r="F18" s="11"/>
      <c r="G18" s="12">
        <f>SUM(G6:G17)</f>
        <v>16.268461538461541</v>
      </c>
      <c r="H18" s="4"/>
    </row>
    <row r="19" spans="1:12" ht="15" customHeight="1" x14ac:dyDescent="0.25">
      <c r="E19" s="10" t="s">
        <v>47</v>
      </c>
      <c r="F19" s="11"/>
      <c r="G19" s="12">
        <f>G18/F3</f>
        <v>3.2536923076923081E-2</v>
      </c>
      <c r="H19" s="4"/>
      <c r="I19" s="76" t="s">
        <v>34</v>
      </c>
      <c r="J19" s="77"/>
      <c r="K19" s="78"/>
      <c r="L19" s="79">
        <f>L14+L15</f>
        <v>23.425313131313136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27.029207459207463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36.038943278943286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G18+'Brigadeiro ninho'!L1</f>
        <v>16.268461538461541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3.2536923076923081E-2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-0.499984740745262"/>
  </sheetPr>
  <dimension ref="A1:N32"/>
  <sheetViews>
    <sheetView showGridLines="0" topLeftCell="I1" workbookViewId="0">
      <selection activeCell="U28" sqref="U28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156</v>
      </c>
      <c r="C3" s="144"/>
      <c r="D3" s="145"/>
      <c r="E3" s="3" t="s">
        <v>3</v>
      </c>
      <c r="F3" s="112">
        <v>500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56</v>
      </c>
      <c r="B6" s="140"/>
      <c r="C6" s="141"/>
      <c r="D6" s="7">
        <v>395</v>
      </c>
      <c r="E6" s="8">
        <v>7</v>
      </c>
      <c r="F6" s="8">
        <v>395</v>
      </c>
      <c r="G6" s="31">
        <f>(F6*E6)/D6</f>
        <v>7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66</v>
      </c>
      <c r="B7" s="140"/>
      <c r="C7" s="141"/>
      <c r="D7" s="7">
        <v>200</v>
      </c>
      <c r="E7" s="8">
        <v>3.5</v>
      </c>
      <c r="F7" s="8">
        <v>200</v>
      </c>
      <c r="G7" s="31">
        <f>(F7*E7)/D7</f>
        <v>3.5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63</v>
      </c>
      <c r="B8" s="140"/>
      <c r="C8" s="141"/>
      <c r="D8" s="7">
        <v>1000</v>
      </c>
      <c r="E8" s="8">
        <v>40</v>
      </c>
      <c r="F8" s="8">
        <v>90</v>
      </c>
      <c r="G8" s="31">
        <f>(F8*E8)/D8</f>
        <v>3.6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67</v>
      </c>
      <c r="B9" s="140"/>
      <c r="C9" s="141"/>
      <c r="D9" s="7">
        <v>1000</v>
      </c>
      <c r="E9" s="8">
        <v>15</v>
      </c>
      <c r="F9" s="8">
        <v>15</v>
      </c>
      <c r="G9" s="31">
        <v>0.23</v>
      </c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14.33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16.081010101010101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4.8243030303030299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8.0405050505050504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16.081010101010101</v>
      </c>
    </row>
    <row r="18" spans="1:12" ht="15" customHeight="1" x14ac:dyDescent="0.25">
      <c r="E18" s="10" t="s">
        <v>31</v>
      </c>
      <c r="F18" s="11"/>
      <c r="G18" s="12">
        <f>SUM(G6:G17)</f>
        <v>14.33</v>
      </c>
      <c r="H18" s="4"/>
    </row>
    <row r="19" spans="1:12" ht="15" customHeight="1" x14ac:dyDescent="0.25">
      <c r="E19" s="10" t="s">
        <v>47</v>
      </c>
      <c r="F19" s="11"/>
      <c r="G19" s="12">
        <f>G18/F3</f>
        <v>2.8660000000000001E-2</v>
      </c>
      <c r="H19" s="4"/>
      <c r="I19" s="76" t="s">
        <v>34</v>
      </c>
      <c r="J19" s="77"/>
      <c r="K19" s="78"/>
      <c r="L19" s="79">
        <f>L14+L15</f>
        <v>20.905313131313129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24.121515151515151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32.162020202020202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G18+'Brigadeiro Recheio'!L1</f>
        <v>14.33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2.8660000000000001E-2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7E3"/>
  </sheetPr>
  <dimension ref="A1:N32"/>
  <sheetViews>
    <sheetView showGridLines="0" workbookViewId="0">
      <selection activeCell="F13" sqref="F13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157</v>
      </c>
      <c r="C3" s="144"/>
      <c r="D3" s="145"/>
      <c r="E3" s="3" t="s">
        <v>3</v>
      </c>
      <c r="F3" s="112">
        <v>1</v>
      </c>
      <c r="G3" s="9"/>
      <c r="H3" s="3" t="s">
        <v>4</v>
      </c>
      <c r="I3" s="6"/>
      <c r="J3" s="9">
        <v>10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158</v>
      </c>
      <c r="B6" s="140"/>
      <c r="C6" s="141"/>
      <c r="D6" s="7">
        <v>500</v>
      </c>
      <c r="E6" s="8">
        <v>16</v>
      </c>
      <c r="F6" s="8">
        <v>40</v>
      </c>
      <c r="G6" s="31">
        <f>(F6*E6)/D6</f>
        <v>1.28</v>
      </c>
      <c r="H6" s="4"/>
      <c r="I6" s="149" t="s">
        <v>11</v>
      </c>
      <c r="J6" s="150"/>
      <c r="K6" s="151"/>
    </row>
    <row r="7" spans="1:14" ht="15" customHeight="1" x14ac:dyDescent="0.25">
      <c r="A7" s="139"/>
      <c r="B7" s="140"/>
      <c r="C7" s="141"/>
      <c r="D7" s="7"/>
      <c r="E7" s="8"/>
      <c r="F7" s="8"/>
      <c r="G7" s="31"/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159</v>
      </c>
      <c r="B8" s="140"/>
      <c r="C8" s="141"/>
      <c r="D8" s="7">
        <v>1000</v>
      </c>
      <c r="E8" s="8">
        <v>33</v>
      </c>
      <c r="F8" s="8">
        <v>5</v>
      </c>
      <c r="G8" s="31">
        <f t="shared" ref="G8:G17" si="0">(F8*E8)/D8</f>
        <v>0.16500000000000001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/>
      <c r="H9" s="4"/>
      <c r="J9" s="4"/>
      <c r="K9" s="5"/>
    </row>
    <row r="10" spans="1:14" ht="15" customHeight="1" x14ac:dyDescent="0.25">
      <c r="A10" s="139" t="s">
        <v>160</v>
      </c>
      <c r="B10" s="140"/>
      <c r="C10" s="141"/>
      <c r="D10" s="7">
        <v>250</v>
      </c>
      <c r="E10" s="8">
        <v>18.73</v>
      </c>
      <c r="F10" s="8">
        <v>5</v>
      </c>
      <c r="G10" s="31">
        <f t="shared" si="0"/>
        <v>0.37460000000000004</v>
      </c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0.22037037037037036</v>
      </c>
    </row>
    <row r="12" spans="1:14" ht="15" customHeight="1" x14ac:dyDescent="0.25">
      <c r="A12" s="139" t="s">
        <v>113</v>
      </c>
      <c r="B12" s="140"/>
      <c r="C12" s="141"/>
      <c r="D12" s="7">
        <v>1000</v>
      </c>
      <c r="E12" s="8">
        <v>30</v>
      </c>
      <c r="F12" s="8">
        <v>32</v>
      </c>
      <c r="G12" s="31">
        <f t="shared" si="0"/>
        <v>0.96</v>
      </c>
      <c r="H12" s="4"/>
      <c r="I12" s="24" t="s">
        <v>22</v>
      </c>
      <c r="J12" s="4"/>
      <c r="K12" s="4"/>
      <c r="L12" s="25">
        <f>G18</f>
        <v>2.7796000000000003</v>
      </c>
    </row>
    <row r="13" spans="1:14" ht="15" customHeight="1" x14ac:dyDescent="0.25">
      <c r="A13" s="139" t="s">
        <v>159</v>
      </c>
      <c r="B13" s="140"/>
      <c r="C13" s="141"/>
      <c r="D13" s="7">
        <v>1000</v>
      </c>
      <c r="E13" s="8">
        <v>30</v>
      </c>
      <c r="F13" s="8">
        <v>100</v>
      </c>
      <c r="G13" s="31"/>
      <c r="H13" s="4"/>
      <c r="I13" s="26" t="s">
        <v>24</v>
      </c>
      <c r="J13" s="27"/>
      <c r="K13" s="27"/>
      <c r="L13" s="28">
        <f>K8*J3</f>
        <v>0.94696969696969713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3.9469400673400679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1.1840820202020204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3" t="s">
        <v>32</v>
      </c>
      <c r="J16" s="6"/>
      <c r="K16" s="6"/>
      <c r="L16" s="124">
        <f>L14*0.5</f>
        <v>1.9734700336700339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3.9469400673400679</v>
      </c>
    </row>
    <row r="18" spans="1:12" ht="15" customHeight="1" x14ac:dyDescent="0.25">
      <c r="E18" s="10" t="s">
        <v>31</v>
      </c>
      <c r="F18" s="11"/>
      <c r="G18" s="31">
        <f>SUM(G6:G13)</f>
        <v>2.7796000000000003</v>
      </c>
      <c r="H18" s="4"/>
    </row>
    <row r="19" spans="1:12" ht="15" customHeight="1" x14ac:dyDescent="0.25">
      <c r="E19" s="10" t="s">
        <v>47</v>
      </c>
      <c r="F19" s="11"/>
      <c r="G19" s="12">
        <f>G18/F3</f>
        <v>2.7796000000000003</v>
      </c>
      <c r="H19" s="4"/>
      <c r="I19" s="76" t="s">
        <v>34</v>
      </c>
      <c r="J19" s="77"/>
      <c r="K19" s="78"/>
      <c r="L19" s="79">
        <f>L14+L15</f>
        <v>5.131022087542088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5.920410101010102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7.8938801346801357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G18+'Recheio trufa Rafaelo'!L1</f>
        <v>2.7796000000000003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2.7796000000000003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5914-3EB0-4AE4-A139-AC87A9DE594E}">
  <sheetPr>
    <tabColor rgb="FFFFC7E3"/>
  </sheetPr>
  <dimension ref="A1:N32"/>
  <sheetViews>
    <sheetView showGridLines="0" workbookViewId="0">
      <selection activeCell="S30" sqref="S30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161</v>
      </c>
      <c r="C3" s="144"/>
      <c r="D3" s="145"/>
      <c r="E3" s="3" t="s">
        <v>3</v>
      </c>
      <c r="F3" s="112">
        <v>1</v>
      </c>
      <c r="G3" s="9"/>
      <c r="H3" s="3" t="s">
        <v>4</v>
      </c>
      <c r="I3" s="6"/>
      <c r="J3" s="9">
        <v>10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162</v>
      </c>
      <c r="B6" s="140"/>
      <c r="C6" s="141"/>
      <c r="D6" s="7">
        <v>2050</v>
      </c>
      <c r="E6" s="8">
        <v>130</v>
      </c>
      <c r="F6" s="8">
        <v>300</v>
      </c>
      <c r="G6" s="31">
        <f>(F6*E6)/D6</f>
        <v>19.024390243902438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66</v>
      </c>
      <c r="B7" s="140"/>
      <c r="C7" s="141"/>
      <c r="D7" s="7">
        <v>200</v>
      </c>
      <c r="E7" s="8">
        <v>4</v>
      </c>
      <c r="F7" s="8">
        <v>200</v>
      </c>
      <c r="G7" s="31">
        <f>(F7*E7)/D7</f>
        <v>4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/>
      <c r="B8" s="140"/>
      <c r="C8" s="141"/>
      <c r="D8" s="7"/>
      <c r="E8" s="8"/>
      <c r="F8" s="8"/>
      <c r="G8" s="31"/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/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0.22037037037037036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23.024390243902438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0.94696969696969713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24.191730311242505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7.2575190933727516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ref="G16:G17" si="0">(F16*E16)/D16</f>
        <v>0</v>
      </c>
      <c r="H16" s="4"/>
      <c r="I16" s="3" t="s">
        <v>32</v>
      </c>
      <c r="J16" s="6"/>
      <c r="K16" s="6"/>
      <c r="L16" s="124">
        <f>L14*0.5</f>
        <v>12.095865155621253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24.191730311242505</v>
      </c>
    </row>
    <row r="18" spans="1:12" ht="15" customHeight="1" x14ac:dyDescent="0.25">
      <c r="E18" s="10" t="s">
        <v>31</v>
      </c>
      <c r="F18" s="11"/>
      <c r="G18" s="31">
        <f>SUM(G6:G13)</f>
        <v>23.024390243902438</v>
      </c>
      <c r="H18" s="4"/>
    </row>
    <row r="19" spans="1:12" ht="15" customHeight="1" x14ac:dyDescent="0.25">
      <c r="E19" s="10" t="s">
        <v>47</v>
      </c>
      <c r="F19" s="11"/>
      <c r="G19" s="12">
        <f>G18/F3</f>
        <v>23.024390243902438</v>
      </c>
      <c r="H19" s="4"/>
      <c r="I19" s="76" t="s">
        <v>34</v>
      </c>
      <c r="J19" s="77"/>
      <c r="K19" s="78"/>
      <c r="L19" s="79">
        <f>L14+L15</f>
        <v>31.449249404615259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36.287595466863756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48.383460622485011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G18+'Recheio trufa tradicional'!L1</f>
        <v>23.024390243902438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23.024390243902438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N32"/>
  <sheetViews>
    <sheetView showGridLines="0" workbookViewId="0">
      <selection activeCell="K8" sqref="K8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163</v>
      </c>
      <c r="C3" s="144"/>
      <c r="D3" s="145"/>
      <c r="E3" s="3" t="s">
        <v>3</v>
      </c>
      <c r="F3" s="112">
        <v>154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/>
      <c r="B6" s="140"/>
      <c r="C6" s="141"/>
      <c r="D6" s="7">
        <v>0</v>
      </c>
      <c r="E6" s="8">
        <v>0</v>
      </c>
      <c r="F6" s="8">
        <v>0</v>
      </c>
      <c r="G6" s="31"/>
      <c r="H6" s="4"/>
      <c r="I6" s="149" t="s">
        <v>11</v>
      </c>
      <c r="J6" s="150"/>
      <c r="K6" s="151"/>
    </row>
    <row r="7" spans="1:14" ht="15" customHeight="1" x14ac:dyDescent="0.25">
      <c r="A7" s="139" t="s">
        <v>164</v>
      </c>
      <c r="B7" s="140"/>
      <c r="C7" s="141"/>
      <c r="D7" s="7">
        <v>500</v>
      </c>
      <c r="E7" s="8">
        <v>16</v>
      </c>
      <c r="F7" s="8">
        <v>100</v>
      </c>
      <c r="G7" s="31">
        <f t="shared" ref="G7:G17" si="0">(F7*E7)/D7</f>
        <v>3.2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165</v>
      </c>
      <c r="B8" s="140"/>
      <c r="C8" s="141"/>
      <c r="D8" s="7">
        <v>150</v>
      </c>
      <c r="E8" s="8">
        <v>50</v>
      </c>
      <c r="F8" s="8">
        <v>4</v>
      </c>
      <c r="G8" s="31">
        <f t="shared" si="0"/>
        <v>1.3333333333333333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 t="s">
        <v>166</v>
      </c>
      <c r="B9" s="140"/>
      <c r="C9" s="141"/>
      <c r="D9" s="7">
        <v>100</v>
      </c>
      <c r="E9" s="8">
        <v>15</v>
      </c>
      <c r="F9" s="8">
        <v>10</v>
      </c>
      <c r="G9" s="31">
        <f t="shared" si="0"/>
        <v>1.5</v>
      </c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6.0333333333333332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7.7843434343434348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2.3353030303030304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 t="shared" si="0"/>
        <v>0</v>
      </c>
      <c r="H16" s="4"/>
      <c r="I16" s="3" t="s">
        <v>32</v>
      </c>
      <c r="J16" s="6"/>
      <c r="K16" s="6"/>
      <c r="L16" s="124">
        <f>L14*0.5</f>
        <v>3.8921717171717174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3" t="s">
        <v>33</v>
      </c>
      <c r="J17" s="6"/>
      <c r="K17" s="6"/>
      <c r="L17" s="20">
        <f>L14*1</f>
        <v>7.7843434343434348</v>
      </c>
    </row>
    <row r="18" spans="1:12" ht="15" customHeight="1" x14ac:dyDescent="0.25">
      <c r="E18" s="10" t="s">
        <v>31</v>
      </c>
      <c r="F18" s="11"/>
      <c r="G18" s="12">
        <f>SUM(G6:G17)</f>
        <v>6.0333333333333332</v>
      </c>
      <c r="H18" s="4"/>
    </row>
    <row r="19" spans="1:12" ht="15" customHeight="1" x14ac:dyDescent="0.25">
      <c r="E19" s="10" t="s">
        <v>47</v>
      </c>
      <c r="F19" s="11"/>
      <c r="G19" s="12">
        <f>G18/F3</f>
        <v>3.9177489177489179E-2</v>
      </c>
      <c r="H19" s="4"/>
      <c r="I19" s="76" t="s">
        <v>34</v>
      </c>
      <c r="J19" s="77"/>
      <c r="K19" s="78"/>
      <c r="L19" s="79">
        <f>L14+L15</f>
        <v>10.119646464646465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11.676515151515153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15.56868686868687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G18+'Trufa pistache'!L1</f>
        <v>6.0333333333333332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3.9177489177489179E-2</v>
      </c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N32"/>
  <sheetViews>
    <sheetView showGridLines="0" workbookViewId="0">
      <selection activeCell="G10" sqref="G10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167</v>
      </c>
      <c r="C3" s="144"/>
      <c r="D3" s="145"/>
      <c r="E3" s="3" t="s">
        <v>3</v>
      </c>
      <c r="F3" s="112">
        <v>180</v>
      </c>
      <c r="G3" s="9"/>
      <c r="H3" s="3" t="s">
        <v>4</v>
      </c>
      <c r="I3" s="6"/>
      <c r="J3" s="9">
        <v>15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168</v>
      </c>
      <c r="B6" s="140"/>
      <c r="C6" s="141"/>
      <c r="D6" s="7">
        <v>300</v>
      </c>
      <c r="E6" s="8">
        <v>15</v>
      </c>
      <c r="F6" s="8">
        <v>300</v>
      </c>
      <c r="G6" s="31">
        <f>(F6*E6)/D6</f>
        <v>15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</v>
      </c>
      <c r="B7" s="140"/>
      <c r="C7" s="141"/>
      <c r="D7" s="7">
        <v>1000</v>
      </c>
      <c r="E7" s="8">
        <v>4.5</v>
      </c>
      <c r="F7" s="8">
        <v>30</v>
      </c>
      <c r="G7" s="31">
        <f>(F7*E7)/D7</f>
        <v>0.13500000000000001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169</v>
      </c>
      <c r="B8" s="140"/>
      <c r="C8" s="141"/>
      <c r="D8" s="7">
        <v>1</v>
      </c>
      <c r="E8" s="8">
        <v>0.5</v>
      </c>
      <c r="F8" s="8">
        <v>1</v>
      </c>
      <c r="G8" s="31">
        <f>(F8*E8)/D8</f>
        <v>0.5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/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0.33055555555555555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15.635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1.4204545454545456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17.3860101010101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5.2158030303030296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8.6930050505050502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17.3860101010101</v>
      </c>
    </row>
    <row r="18" spans="1:12" ht="15" customHeight="1" x14ac:dyDescent="0.25">
      <c r="E18" s="10" t="s">
        <v>31</v>
      </c>
      <c r="F18" s="11"/>
      <c r="G18" s="12">
        <f>SUM(G6:G17)</f>
        <v>15.635</v>
      </c>
      <c r="H18" s="4"/>
    </row>
    <row r="19" spans="1:12" ht="15" customHeight="1" x14ac:dyDescent="0.25">
      <c r="E19" s="10" t="s">
        <v>47</v>
      </c>
      <c r="F19" s="11"/>
      <c r="G19" s="12">
        <f>G18/F3</f>
        <v>8.6861111111111111E-2</v>
      </c>
      <c r="H19" s="4"/>
      <c r="I19" s="76" t="s">
        <v>34</v>
      </c>
      <c r="J19" s="77"/>
      <c r="K19" s="78"/>
      <c r="L19" s="79">
        <f>L14+L15</f>
        <v>22.601813131313129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26.079015151515151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34.772020202020201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G18+'Geleia frutas vermelhas'!L1</f>
        <v>15.635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8.6861111111111111E-2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N32"/>
  <sheetViews>
    <sheetView showGridLines="0" workbookViewId="0">
      <selection activeCell="P45" sqref="P45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170</v>
      </c>
      <c r="C3" s="144"/>
      <c r="D3" s="145"/>
      <c r="E3" s="3" t="s">
        <v>3</v>
      </c>
      <c r="F3" s="112">
        <v>500</v>
      </c>
      <c r="G3" s="9"/>
      <c r="H3" s="3" t="s">
        <v>4</v>
      </c>
      <c r="I3" s="6"/>
      <c r="J3" s="9">
        <v>30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68</v>
      </c>
      <c r="B6" s="140"/>
      <c r="C6" s="141"/>
      <c r="D6" s="7">
        <v>780</v>
      </c>
      <c r="E6" s="8">
        <v>10</v>
      </c>
      <c r="F6" s="8">
        <v>780</v>
      </c>
      <c r="G6" s="31">
        <f>(F6*E6)/D6</f>
        <v>10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</v>
      </c>
      <c r="B7" s="140"/>
      <c r="C7" s="141"/>
      <c r="D7" s="7">
        <v>1000</v>
      </c>
      <c r="E7" s="8">
        <v>4.5</v>
      </c>
      <c r="F7" s="8">
        <v>360</v>
      </c>
      <c r="G7" s="31">
        <f>(F7*E7)/D7</f>
        <v>1.62</v>
      </c>
      <c r="H7" s="4"/>
      <c r="I7" s="152" t="s">
        <v>40</v>
      </c>
      <c r="J7" s="153"/>
      <c r="K7" s="111">
        <f>Custos!F15</f>
        <v>2.2037037037037036E-2</v>
      </c>
    </row>
    <row r="8" spans="1:14" ht="15" customHeight="1" x14ac:dyDescent="0.25">
      <c r="A8" s="139" t="s">
        <v>21</v>
      </c>
      <c r="B8" s="140"/>
      <c r="C8" s="141"/>
      <c r="D8" s="7">
        <v>1</v>
      </c>
      <c r="E8" s="8">
        <v>0.5</v>
      </c>
      <c r="F8" s="8">
        <v>1</v>
      </c>
      <c r="G8" s="31">
        <f>(F8*E8)/D8</f>
        <v>0.5</v>
      </c>
      <c r="H8" s="4"/>
      <c r="I8" s="152" t="s">
        <v>15</v>
      </c>
      <c r="J8" s="153"/>
      <c r="K8" s="107">
        <f>Custos!L15</f>
        <v>9.469696969696971E-2</v>
      </c>
    </row>
    <row r="9" spans="1:14" ht="15" customHeight="1" x14ac:dyDescent="0.25">
      <c r="A9" s="139"/>
      <c r="B9" s="140"/>
      <c r="C9" s="141"/>
      <c r="D9" s="7"/>
      <c r="E9" s="8"/>
      <c r="F9" s="8"/>
      <c r="G9" s="31"/>
      <c r="H9" s="4"/>
      <c r="J9" s="4"/>
      <c r="K9" s="5"/>
    </row>
    <row r="10" spans="1:14" ht="15" customHeight="1" x14ac:dyDescent="0.25">
      <c r="A10" s="139"/>
      <c r="B10" s="140"/>
      <c r="C10" s="141"/>
      <c r="D10" s="7"/>
      <c r="E10" s="8"/>
      <c r="F10" s="8"/>
      <c r="G10" s="31"/>
      <c r="H10" s="4"/>
      <c r="I10" s="64" t="s">
        <v>18</v>
      </c>
      <c r="J10" s="67"/>
      <c r="K10" s="67"/>
      <c r="L10" s="69"/>
    </row>
    <row r="11" spans="1:14" ht="15" customHeight="1" x14ac:dyDescent="0.25">
      <c r="A11" s="139"/>
      <c r="B11" s="140"/>
      <c r="C11" s="141"/>
      <c r="D11" s="7"/>
      <c r="E11" s="8"/>
      <c r="F11" s="8"/>
      <c r="G11" s="31"/>
      <c r="H11" s="4"/>
      <c r="I11" s="21" t="s">
        <v>20</v>
      </c>
      <c r="J11" s="22"/>
      <c r="K11" s="22"/>
      <c r="L11" s="23">
        <f>K7*J3</f>
        <v>0.66111111111111109</v>
      </c>
    </row>
    <row r="12" spans="1:14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12.120000000000001</v>
      </c>
    </row>
    <row r="13" spans="1:14" ht="15" customHeight="1" x14ac:dyDescent="0.25">
      <c r="A13" s="139"/>
      <c r="B13" s="140"/>
      <c r="C13" s="141"/>
      <c r="D13" s="7"/>
      <c r="E13" s="8"/>
      <c r="F13" s="8"/>
      <c r="G13" s="31"/>
      <c r="H13" s="4"/>
      <c r="I13" s="26" t="s">
        <v>24</v>
      </c>
      <c r="J13" s="27"/>
      <c r="K13" s="27"/>
      <c r="L13" s="28">
        <f>K8*J3</f>
        <v>2.8409090909090913</v>
      </c>
    </row>
    <row r="14" spans="1:14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15.622020202020204</v>
      </c>
    </row>
    <row r="15" spans="1:14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4.6866060606060609</v>
      </c>
    </row>
    <row r="16" spans="1:14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7.8110101010101021</v>
      </c>
    </row>
    <row r="17" spans="1:12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15.622020202020204</v>
      </c>
    </row>
    <row r="18" spans="1:12" ht="15" customHeight="1" x14ac:dyDescent="0.25">
      <c r="E18" s="10" t="s">
        <v>31</v>
      </c>
      <c r="F18" s="11"/>
      <c r="G18" s="12">
        <f>SUM(G6:G17)</f>
        <v>12.120000000000001</v>
      </c>
      <c r="H18" s="4"/>
    </row>
    <row r="19" spans="1:12" ht="15" customHeight="1" x14ac:dyDescent="0.25">
      <c r="E19" s="10" t="s">
        <v>47</v>
      </c>
      <c r="F19" s="11"/>
      <c r="G19" s="12">
        <f>G18/F3</f>
        <v>2.4240000000000001E-2</v>
      </c>
      <c r="H19" s="4"/>
      <c r="I19" s="76" t="s">
        <v>34</v>
      </c>
      <c r="J19" s="77"/>
      <c r="K19" s="78"/>
      <c r="L19" s="79">
        <f>L14+L15</f>
        <v>20.308626262626266</v>
      </c>
    </row>
    <row r="20" spans="1:12" ht="15" customHeight="1" x14ac:dyDescent="0.25">
      <c r="H20" s="4"/>
      <c r="I20" s="116" t="s">
        <v>35</v>
      </c>
      <c r="J20" s="117"/>
      <c r="K20" s="118"/>
      <c r="L20" s="119">
        <f>L14+L16</f>
        <v>23.433030303030307</v>
      </c>
    </row>
    <row r="21" spans="1:12" ht="15" customHeight="1" x14ac:dyDescent="0.25">
      <c r="H21" s="4"/>
      <c r="I21" s="120" t="s">
        <v>36</v>
      </c>
      <c r="J21" s="121"/>
      <c r="K21" s="122"/>
      <c r="L21" s="123">
        <f>L14+L17</f>
        <v>31.244040404040408</v>
      </c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  <c r="I30" s="70" t="s">
        <v>30</v>
      </c>
      <c r="J30" s="71"/>
      <c r="K30" s="71"/>
      <c r="L30" s="72"/>
    </row>
    <row r="31" spans="1:12" ht="15" customHeight="1" x14ac:dyDescent="0.25">
      <c r="B31" s="4"/>
      <c r="C31" s="4"/>
      <c r="D31" s="4"/>
      <c r="E31" s="4"/>
      <c r="F31" s="4"/>
      <c r="G31" s="4"/>
      <c r="L31" s="32">
        <f>G18+'Recheio de Abacaxi'!L1</f>
        <v>12.120000000000001</v>
      </c>
    </row>
    <row r="32" spans="1:12" ht="15" customHeight="1" x14ac:dyDescent="0.25">
      <c r="B32" s="16"/>
      <c r="C32" s="4"/>
      <c r="D32" s="4"/>
      <c r="E32" s="17"/>
      <c r="F32" s="17"/>
      <c r="G32" s="17"/>
      <c r="I32" s="2" t="s">
        <v>48</v>
      </c>
      <c r="L32" s="113">
        <f>L31/F3</f>
        <v>2.4240000000000001E-2</v>
      </c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32"/>
  <sheetViews>
    <sheetView showGridLines="0" zoomScaleNormal="100" workbookViewId="0">
      <selection activeCell="F13" sqref="F13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304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40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171</v>
      </c>
      <c r="B6" s="140"/>
      <c r="C6" s="141"/>
      <c r="D6" s="7">
        <v>2050</v>
      </c>
      <c r="E6" s="30">
        <v>65</v>
      </c>
      <c r="F6" s="8">
        <v>90</v>
      </c>
      <c r="G6" s="31">
        <f t="shared" ref="G6:G12" si="0">(F6*E6)/D6</f>
        <v>2.8536585365853657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305</v>
      </c>
      <c r="B7" s="140"/>
      <c r="C7" s="141"/>
      <c r="D7" s="7">
        <v>500</v>
      </c>
      <c r="E7" s="30">
        <v>26</v>
      </c>
      <c r="F7" s="8">
        <v>80</v>
      </c>
      <c r="G7" s="31">
        <f t="shared" si="0"/>
        <v>4.16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296</v>
      </c>
      <c r="B8" s="140"/>
      <c r="C8" s="141"/>
      <c r="D8" s="7">
        <v>900</v>
      </c>
      <c r="E8" s="30">
        <v>32</v>
      </c>
      <c r="F8" s="8">
        <v>30</v>
      </c>
      <c r="G8" s="31">
        <f t="shared" si="0"/>
        <v>1.0666666666666667</v>
      </c>
      <c r="H8" s="4"/>
      <c r="I8" s="154" t="s">
        <v>114</v>
      </c>
      <c r="J8" s="155"/>
      <c r="K8" s="108">
        <f>Custos!L15</f>
        <v>9.469696969696971E-2</v>
      </c>
    </row>
    <row r="9" spans="1:18" ht="15" customHeight="1" x14ac:dyDescent="0.25">
      <c r="A9" s="139" t="s">
        <v>133</v>
      </c>
      <c r="B9" s="140"/>
      <c r="C9" s="141"/>
      <c r="D9" s="7">
        <v>10</v>
      </c>
      <c r="E9" s="30">
        <v>13</v>
      </c>
      <c r="F9" s="8">
        <v>1</v>
      </c>
      <c r="G9" s="31">
        <f t="shared" si="0"/>
        <v>1.3</v>
      </c>
      <c r="H9" s="4"/>
      <c r="J9" s="4"/>
      <c r="K9" s="5"/>
    </row>
    <row r="10" spans="1:18" ht="15" customHeight="1" x14ac:dyDescent="0.25">
      <c r="A10" s="139" t="s">
        <v>303</v>
      </c>
      <c r="B10" s="140"/>
      <c r="C10" s="141"/>
      <c r="D10" s="7">
        <v>10</v>
      </c>
      <c r="E10" s="30">
        <v>12</v>
      </c>
      <c r="F10" s="8">
        <v>1</v>
      </c>
      <c r="G10" s="31">
        <f t="shared" si="0"/>
        <v>1.2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184</v>
      </c>
      <c r="B11" s="140"/>
      <c r="C11" s="141"/>
      <c r="D11" s="7">
        <v>100</v>
      </c>
      <c r="E11" s="30">
        <v>32</v>
      </c>
      <c r="F11" s="8">
        <v>1</v>
      </c>
      <c r="G11" s="31">
        <f t="shared" si="0"/>
        <v>0.32</v>
      </c>
      <c r="H11" s="4"/>
      <c r="I11" s="21" t="s">
        <v>20</v>
      </c>
      <c r="J11" s="22"/>
      <c r="K11" s="22"/>
      <c r="L11" s="23">
        <f>K7*J3</f>
        <v>0.88148148148148142</v>
      </c>
      <c r="P11" s="106"/>
    </row>
    <row r="12" spans="1:18" ht="15" customHeight="1" x14ac:dyDescent="0.25">
      <c r="A12" s="139" t="s">
        <v>79</v>
      </c>
      <c r="B12" s="140"/>
      <c r="C12" s="141"/>
      <c r="D12" s="7">
        <v>1000</v>
      </c>
      <c r="E12" s="8">
        <v>6</v>
      </c>
      <c r="F12" s="8">
        <v>400</v>
      </c>
      <c r="G12" s="31">
        <f t="shared" si="0"/>
        <v>2.4</v>
      </c>
      <c r="H12" s="4"/>
      <c r="I12" s="24" t="s">
        <v>22</v>
      </c>
      <c r="J12" s="4"/>
      <c r="K12" s="4"/>
      <c r="L12" s="25">
        <f>G18</f>
        <v>13.300325203252033</v>
      </c>
    </row>
    <row r="13" spans="1:18" ht="15" customHeight="1" x14ac:dyDescent="0.25">
      <c r="A13" s="139"/>
      <c r="B13" s="140"/>
      <c r="C13" s="141"/>
      <c r="D13" s="7"/>
      <c r="E13" s="30"/>
      <c r="F13" s="8"/>
      <c r="G13" s="31"/>
      <c r="H13" s="4"/>
      <c r="I13" s="26" t="s">
        <v>24</v>
      </c>
      <c r="J13" s="27"/>
      <c r="K13" s="27"/>
      <c r="L13" s="28">
        <f>K8*J3</f>
        <v>3.7878787878787885</v>
      </c>
    </row>
    <row r="14" spans="1:18" ht="15" customHeight="1" x14ac:dyDescent="0.25">
      <c r="A14" s="139"/>
      <c r="B14" s="140"/>
      <c r="C14" s="141"/>
      <c r="D14" s="7"/>
      <c r="E14" s="8"/>
      <c r="F14" s="8"/>
      <c r="G14" s="31"/>
      <c r="H14" s="4"/>
      <c r="I14" s="125" t="s">
        <v>26</v>
      </c>
      <c r="J14" s="126"/>
      <c r="K14" s="126"/>
      <c r="L14" s="127">
        <f>SUM(L11:L13)</f>
        <v>17.969685472612301</v>
      </c>
      <c r="P14" s="106"/>
    </row>
    <row r="15" spans="1:18" ht="15" customHeight="1" x14ac:dyDescent="0.25">
      <c r="A15" s="139"/>
      <c r="B15" s="140"/>
      <c r="C15" s="141"/>
      <c r="D15" s="7">
        <v>1</v>
      </c>
      <c r="E15" s="8"/>
      <c r="F15" s="8"/>
      <c r="G15" s="31">
        <f>(F15*E15)/D15</f>
        <v>0</v>
      </c>
      <c r="H15" s="4"/>
      <c r="I15" s="3" t="s">
        <v>28</v>
      </c>
      <c r="J15" s="6"/>
      <c r="K15" s="6"/>
      <c r="L15" s="20">
        <f>L14*0.3</f>
        <v>5.3909056417836902</v>
      </c>
      <c r="R15" s="106"/>
    </row>
    <row r="16" spans="1:18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8.9848427363061507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17.969685472612301</v>
      </c>
    </row>
    <row r="18" spans="1:21" ht="15" customHeight="1" x14ac:dyDescent="0.25">
      <c r="E18" s="10" t="s">
        <v>31</v>
      </c>
      <c r="F18" s="11"/>
      <c r="G18" s="12">
        <f>SUM(G6:G14)</f>
        <v>13.300325203252033</v>
      </c>
      <c r="H18" s="4"/>
      <c r="R18" s="106"/>
    </row>
    <row r="19" spans="1:21" ht="15" customHeight="1" x14ac:dyDescent="0.25">
      <c r="E19" s="10" t="s">
        <v>47</v>
      </c>
      <c r="F19" s="11"/>
      <c r="G19" s="12"/>
      <c r="H19" s="4"/>
      <c r="I19" s="76" t="s">
        <v>34</v>
      </c>
      <c r="J19" s="77"/>
      <c r="K19" s="78"/>
      <c r="L19" s="79">
        <f>L14+L15</f>
        <v>23.360591114395991</v>
      </c>
      <c r="P19" s="106"/>
    </row>
    <row r="20" spans="1:21" ht="15" customHeight="1" x14ac:dyDescent="0.25">
      <c r="G20" s="128"/>
      <c r="H20" s="4"/>
      <c r="I20" s="116" t="s">
        <v>35</v>
      </c>
      <c r="J20" s="117"/>
      <c r="K20" s="118"/>
      <c r="L20" s="119">
        <f>L14+L16</f>
        <v>26.954528208918454</v>
      </c>
    </row>
    <row r="21" spans="1:21" ht="15" customHeight="1" x14ac:dyDescent="0.25">
      <c r="H21" s="4"/>
      <c r="I21" s="120" t="s">
        <v>36</v>
      </c>
      <c r="J21" s="121"/>
      <c r="K21" s="122"/>
      <c r="L21" s="123">
        <f>L14+L17</f>
        <v>35.939370945224603</v>
      </c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5C9E-5043-458F-846B-38797B5391CD}">
  <dimension ref="A1:U32"/>
  <sheetViews>
    <sheetView showGridLines="0" topLeftCell="D1" workbookViewId="0">
      <selection activeCell="G13" sqref="G13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173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15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171</v>
      </c>
      <c r="B6" s="140"/>
      <c r="C6" s="141"/>
      <c r="D6" s="7">
        <v>2050</v>
      </c>
      <c r="E6" s="30">
        <v>80</v>
      </c>
      <c r="F6" s="8">
        <v>50</v>
      </c>
      <c r="G6" s="31">
        <f t="shared" ref="G6:G12" si="0">(F6*E6)/D6</f>
        <v>1.9512195121951219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326</v>
      </c>
      <c r="B7" s="140"/>
      <c r="C7" s="141"/>
      <c r="D7" s="7">
        <v>500</v>
      </c>
      <c r="E7" s="30">
        <v>22</v>
      </c>
      <c r="F7" s="8">
        <v>60</v>
      </c>
      <c r="G7" s="31">
        <f t="shared" si="0"/>
        <v>2.64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172</v>
      </c>
      <c r="B8" s="140"/>
      <c r="C8" s="141"/>
      <c r="D8" s="7">
        <v>1</v>
      </c>
      <c r="E8" s="30">
        <v>7</v>
      </c>
      <c r="F8" s="8">
        <v>1</v>
      </c>
      <c r="G8" s="31">
        <f t="shared" si="0"/>
        <v>7</v>
      </c>
      <c r="H8" s="4"/>
      <c r="I8" s="154" t="s">
        <v>114</v>
      </c>
      <c r="J8" s="155"/>
      <c r="K8" s="108">
        <f>Custos!L15</f>
        <v>9.469696969696971E-2</v>
      </c>
    </row>
    <row r="9" spans="1:18" ht="15" customHeight="1" x14ac:dyDescent="0.25">
      <c r="A9" s="139" t="s">
        <v>174</v>
      </c>
      <c r="B9" s="140"/>
      <c r="C9" s="141"/>
      <c r="D9" s="7">
        <v>400</v>
      </c>
      <c r="E9" s="30">
        <v>32</v>
      </c>
      <c r="F9" s="8">
        <v>10</v>
      </c>
      <c r="G9" s="31">
        <f t="shared" si="0"/>
        <v>0.8</v>
      </c>
      <c r="H9" s="4"/>
      <c r="J9" s="4"/>
      <c r="K9" s="5"/>
    </row>
    <row r="10" spans="1:18" ht="15" customHeight="1" x14ac:dyDescent="0.25">
      <c r="A10" s="139" t="s">
        <v>79</v>
      </c>
      <c r="B10" s="140"/>
      <c r="C10" s="141"/>
      <c r="D10" s="7">
        <v>10000</v>
      </c>
      <c r="E10" s="30">
        <v>14</v>
      </c>
      <c r="F10" s="8">
        <v>700</v>
      </c>
      <c r="G10" s="31">
        <f t="shared" si="0"/>
        <v>0.98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184</v>
      </c>
      <c r="B11" s="140"/>
      <c r="C11" s="141"/>
      <c r="D11" s="7">
        <v>200</v>
      </c>
      <c r="E11" s="30">
        <v>43</v>
      </c>
      <c r="F11" s="8">
        <v>1</v>
      </c>
      <c r="G11" s="31">
        <f t="shared" si="0"/>
        <v>0.215</v>
      </c>
      <c r="H11" s="4"/>
      <c r="I11" s="21" t="s">
        <v>20</v>
      </c>
      <c r="J11" s="22"/>
      <c r="K11" s="22"/>
      <c r="L11" s="23">
        <f>K7*J3</f>
        <v>0.33055555555555555</v>
      </c>
      <c r="P11" s="106"/>
    </row>
    <row r="12" spans="1:18" ht="15" customHeight="1" x14ac:dyDescent="0.25">
      <c r="A12" s="139" t="s">
        <v>303</v>
      </c>
      <c r="B12" s="140"/>
      <c r="C12" s="141"/>
      <c r="D12" s="7">
        <v>10</v>
      </c>
      <c r="E12" s="8">
        <v>12</v>
      </c>
      <c r="F12" s="8">
        <v>1</v>
      </c>
      <c r="G12" s="31">
        <f t="shared" si="0"/>
        <v>1.2</v>
      </c>
      <c r="H12" s="4"/>
      <c r="I12" s="24" t="s">
        <v>22</v>
      </c>
      <c r="J12" s="4"/>
      <c r="K12" s="4"/>
      <c r="L12" s="25">
        <f>G18</f>
        <v>14.886219512195122</v>
      </c>
    </row>
    <row r="13" spans="1:18" ht="15" customHeight="1" x14ac:dyDescent="0.25">
      <c r="A13" s="139" t="s">
        <v>143</v>
      </c>
      <c r="B13" s="140"/>
      <c r="C13" s="141"/>
      <c r="D13" s="7">
        <v>1000</v>
      </c>
      <c r="E13" s="30">
        <v>100</v>
      </c>
      <c r="F13" s="8">
        <v>1</v>
      </c>
      <c r="G13" s="31">
        <f>(F13*E13)/D13</f>
        <v>0.1</v>
      </c>
      <c r="H13" s="4"/>
      <c r="I13" s="26" t="s">
        <v>24</v>
      </c>
      <c r="J13" s="27"/>
      <c r="K13" s="27"/>
      <c r="L13" s="28">
        <f>K8*J3</f>
        <v>1.4204545454545456</v>
      </c>
    </row>
    <row r="14" spans="1:18" ht="15" customHeight="1" x14ac:dyDescent="0.25">
      <c r="A14" s="139" t="s">
        <v>327</v>
      </c>
      <c r="B14" s="140"/>
      <c r="C14" s="141"/>
      <c r="D14" s="7">
        <v>10</v>
      </c>
      <c r="E14" s="8">
        <v>25</v>
      </c>
      <c r="F14" s="8">
        <v>1</v>
      </c>
      <c r="G14" s="31"/>
      <c r="H14" s="4"/>
      <c r="I14" s="125" t="s">
        <v>26</v>
      </c>
      <c r="J14" s="126"/>
      <c r="K14" s="126"/>
      <c r="L14" s="127">
        <f>SUM(L11:L13)</f>
        <v>16.637229613205225</v>
      </c>
      <c r="P14" s="106"/>
    </row>
    <row r="15" spans="1:18" ht="15" customHeight="1" x14ac:dyDescent="0.25">
      <c r="A15" s="139"/>
      <c r="B15" s="140"/>
      <c r="C15" s="141"/>
      <c r="D15" s="7">
        <v>1</v>
      </c>
      <c r="E15" s="8"/>
      <c r="F15" s="8"/>
      <c r="G15" s="31">
        <f>(F15*E15)/D15</f>
        <v>0</v>
      </c>
      <c r="H15" s="4"/>
      <c r="I15" s="3" t="s">
        <v>28</v>
      </c>
      <c r="J15" s="6"/>
      <c r="K15" s="6"/>
      <c r="L15" s="20">
        <f>L14*0.3</f>
        <v>4.9911688839615671</v>
      </c>
      <c r="R15" s="106"/>
    </row>
    <row r="16" spans="1:18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8.3186148066026124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16.637229613205225</v>
      </c>
    </row>
    <row r="18" spans="1:21" ht="15" customHeight="1" x14ac:dyDescent="0.25">
      <c r="E18" s="10" t="s">
        <v>31</v>
      </c>
      <c r="F18" s="11"/>
      <c r="G18" s="12">
        <f>SUM(G6:G14)</f>
        <v>14.886219512195122</v>
      </c>
      <c r="H18" s="4"/>
      <c r="R18" s="106"/>
    </row>
    <row r="19" spans="1:21" ht="15" customHeight="1" x14ac:dyDescent="0.25">
      <c r="E19" s="10" t="s">
        <v>47</v>
      </c>
      <c r="F19" s="11"/>
      <c r="G19" s="12"/>
      <c r="H19" s="4"/>
      <c r="I19" s="76" t="s">
        <v>34</v>
      </c>
      <c r="J19" s="77"/>
      <c r="K19" s="78"/>
      <c r="L19" s="79">
        <f>L14+L15</f>
        <v>21.628398497166792</v>
      </c>
      <c r="P19" s="106"/>
    </row>
    <row r="20" spans="1:21" ht="15" customHeight="1" x14ac:dyDescent="0.25">
      <c r="G20" s="128"/>
      <c r="H20" s="4"/>
      <c r="I20" s="116" t="s">
        <v>35</v>
      </c>
      <c r="J20" s="117"/>
      <c r="K20" s="118"/>
      <c r="L20" s="119">
        <f>L14+L16</f>
        <v>24.955844419807839</v>
      </c>
    </row>
    <row r="21" spans="1:21" ht="15" customHeight="1" x14ac:dyDescent="0.25">
      <c r="H21" s="4"/>
      <c r="I21" s="120" t="s">
        <v>36</v>
      </c>
      <c r="J21" s="121"/>
      <c r="K21" s="122"/>
      <c r="L21" s="123">
        <f>L14+L17</f>
        <v>33.27445922641045</v>
      </c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DE12-B032-4FD7-8A64-DC48F96319D4}">
  <dimension ref="A1:U32"/>
  <sheetViews>
    <sheetView showGridLines="0" workbookViewId="0">
      <selection activeCell="E9" sqref="E9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175</v>
      </c>
      <c r="C3" s="144"/>
      <c r="D3" s="145"/>
      <c r="E3" s="3" t="s">
        <v>3</v>
      </c>
      <c r="F3" s="6">
        <v>1</v>
      </c>
      <c r="G3" s="9"/>
      <c r="H3" s="3" t="s">
        <v>4</v>
      </c>
      <c r="I3" s="6"/>
      <c r="J3" s="9">
        <v>20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171</v>
      </c>
      <c r="B6" s="140"/>
      <c r="C6" s="141"/>
      <c r="D6" s="7">
        <v>2050</v>
      </c>
      <c r="E6" s="30">
        <v>80</v>
      </c>
      <c r="F6" s="8">
        <v>80</v>
      </c>
      <c r="G6" s="31">
        <f>(F6*E6)/D6</f>
        <v>3.1219512195121952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176</v>
      </c>
      <c r="B7" s="140"/>
      <c r="C7" s="141"/>
      <c r="D7" s="7">
        <v>500</v>
      </c>
      <c r="E7" s="30">
        <v>22</v>
      </c>
      <c r="F7" s="8">
        <v>400</v>
      </c>
      <c r="G7" s="31">
        <f>(F7*E7)/D7</f>
        <v>17.600000000000001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172</v>
      </c>
      <c r="B8" s="140"/>
      <c r="C8" s="141"/>
      <c r="D8" s="7">
        <v>1</v>
      </c>
      <c r="E8" s="30">
        <v>23</v>
      </c>
      <c r="F8" s="8">
        <v>1</v>
      </c>
      <c r="G8" s="31">
        <f>(F8*E8)/D8</f>
        <v>23</v>
      </c>
      <c r="H8" s="4"/>
      <c r="I8" s="154" t="s">
        <v>114</v>
      </c>
      <c r="J8" s="155"/>
      <c r="K8" s="108">
        <f>Custos!L15</f>
        <v>9.469696969696971E-2</v>
      </c>
    </row>
    <row r="9" spans="1:18" ht="15" customHeight="1" x14ac:dyDescent="0.25">
      <c r="A9" s="139" t="s">
        <v>27</v>
      </c>
      <c r="B9" s="140"/>
      <c r="C9" s="141"/>
      <c r="D9" s="7">
        <v>1</v>
      </c>
      <c r="E9" s="30">
        <v>10</v>
      </c>
      <c r="F9" s="8">
        <v>1</v>
      </c>
      <c r="G9" s="31">
        <f t="shared" ref="G9:G13" si="0">(F9*E9)/D9</f>
        <v>10</v>
      </c>
      <c r="H9" s="4"/>
      <c r="J9" s="4"/>
      <c r="K9" s="5"/>
    </row>
    <row r="10" spans="1:18" ht="15" customHeight="1" x14ac:dyDescent="0.25">
      <c r="A10" s="139" t="s">
        <v>177</v>
      </c>
      <c r="B10" s="140"/>
      <c r="C10" s="141"/>
      <c r="D10" s="7">
        <v>400</v>
      </c>
      <c r="E10" s="30">
        <v>50</v>
      </c>
      <c r="F10" s="8">
        <v>30</v>
      </c>
      <c r="G10" s="31">
        <f t="shared" si="0"/>
        <v>3.75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303</v>
      </c>
      <c r="B11" s="140"/>
      <c r="C11" s="141"/>
      <c r="D11" s="7">
        <v>10</v>
      </c>
      <c r="E11" s="30">
        <v>12</v>
      </c>
      <c r="F11" s="8">
        <v>1</v>
      </c>
      <c r="G11" s="31">
        <f t="shared" si="0"/>
        <v>1.2</v>
      </c>
      <c r="H11" s="4"/>
      <c r="I11" s="21" t="s">
        <v>20</v>
      </c>
      <c r="J11" s="22"/>
      <c r="K11" s="22"/>
      <c r="L11" s="23">
        <f>K7*J3</f>
        <v>0.44074074074074071</v>
      </c>
      <c r="P11" s="106"/>
    </row>
    <row r="12" spans="1:18" ht="15" customHeight="1" x14ac:dyDescent="0.25">
      <c r="A12" s="139" t="s">
        <v>184</v>
      </c>
      <c r="B12" s="140"/>
      <c r="C12" s="141"/>
      <c r="D12" s="7">
        <v>200</v>
      </c>
      <c r="E12" s="8">
        <v>43</v>
      </c>
      <c r="F12" s="8">
        <v>1</v>
      </c>
      <c r="G12" s="31">
        <f t="shared" si="0"/>
        <v>0.215</v>
      </c>
      <c r="H12" s="4"/>
      <c r="I12" s="24" t="s">
        <v>22</v>
      </c>
      <c r="J12" s="4"/>
      <c r="K12" s="4"/>
      <c r="L12" s="25">
        <f>G18</f>
        <v>60.286951219512197</v>
      </c>
    </row>
    <row r="13" spans="1:18" ht="15" customHeight="1" x14ac:dyDescent="0.25">
      <c r="A13" s="139" t="s">
        <v>79</v>
      </c>
      <c r="B13" s="140"/>
      <c r="C13" s="141"/>
      <c r="D13" s="7">
        <v>10000</v>
      </c>
      <c r="E13" s="30">
        <v>14</v>
      </c>
      <c r="F13" s="8">
        <v>1000</v>
      </c>
      <c r="G13" s="31">
        <f t="shared" si="0"/>
        <v>1.4</v>
      </c>
      <c r="H13" s="4"/>
      <c r="I13" s="26" t="s">
        <v>24</v>
      </c>
      <c r="J13" s="27"/>
      <c r="K13" s="27"/>
      <c r="L13" s="28">
        <f>K8*J3</f>
        <v>1.8939393939393943</v>
      </c>
    </row>
    <row r="14" spans="1:18" ht="15" customHeight="1" x14ac:dyDescent="0.25">
      <c r="A14" s="139"/>
      <c r="B14" s="140"/>
      <c r="C14" s="141"/>
      <c r="D14" s="7"/>
      <c r="E14" s="8"/>
      <c r="F14" s="8"/>
      <c r="G14" s="31"/>
      <c r="H14" s="4"/>
      <c r="I14" s="125" t="s">
        <v>26</v>
      </c>
      <c r="J14" s="126"/>
      <c r="K14" s="126"/>
      <c r="L14" s="127">
        <f>SUM(L11:L13)</f>
        <v>62.621631354192331</v>
      </c>
      <c r="P14" s="106"/>
    </row>
    <row r="15" spans="1:18" ht="15" customHeight="1" x14ac:dyDescent="0.25">
      <c r="A15" s="139"/>
      <c r="B15" s="140"/>
      <c r="C15" s="141"/>
      <c r="D15" s="7">
        <v>1</v>
      </c>
      <c r="E15" s="8"/>
      <c r="F15" s="8"/>
      <c r="G15" s="31">
        <f>(F15*E15)/D15</f>
        <v>0</v>
      </c>
      <c r="H15" s="4"/>
      <c r="I15" s="3" t="s">
        <v>28</v>
      </c>
      <c r="J15" s="6"/>
      <c r="K15" s="6"/>
      <c r="L15" s="20">
        <f>L14*0.3</f>
        <v>18.786489406257697</v>
      </c>
      <c r="R15" s="106"/>
    </row>
    <row r="16" spans="1:18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31.310815677096166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62.621631354192331</v>
      </c>
    </row>
    <row r="18" spans="1:21" ht="15" customHeight="1" x14ac:dyDescent="0.25">
      <c r="E18" s="10" t="s">
        <v>31</v>
      </c>
      <c r="F18" s="11"/>
      <c r="G18" s="12">
        <f>SUM(G6:G14)</f>
        <v>60.286951219512197</v>
      </c>
      <c r="H18" s="4"/>
      <c r="R18" s="106"/>
    </row>
    <row r="19" spans="1:21" ht="15" customHeight="1" x14ac:dyDescent="0.25">
      <c r="E19" s="10" t="s">
        <v>47</v>
      </c>
      <c r="F19" s="11"/>
      <c r="G19" s="12"/>
      <c r="H19" s="4"/>
      <c r="I19" s="76" t="s">
        <v>34</v>
      </c>
      <c r="J19" s="77"/>
      <c r="K19" s="78"/>
      <c r="L19" s="79">
        <f>L14+L15</f>
        <v>81.408120760450032</v>
      </c>
      <c r="P19" s="106"/>
    </row>
    <row r="20" spans="1:21" ht="15" customHeight="1" x14ac:dyDescent="0.25">
      <c r="G20" s="128"/>
      <c r="H20" s="4"/>
      <c r="I20" s="116" t="s">
        <v>35</v>
      </c>
      <c r="J20" s="117"/>
      <c r="K20" s="118"/>
      <c r="L20" s="119">
        <f>L14+L16</f>
        <v>93.93244703128849</v>
      </c>
    </row>
    <row r="21" spans="1:21" ht="15" customHeight="1" x14ac:dyDescent="0.25">
      <c r="H21" s="4"/>
      <c r="I21" s="120" t="s">
        <v>36</v>
      </c>
      <c r="J21" s="121"/>
      <c r="K21" s="122"/>
      <c r="L21" s="123">
        <f>L14+L17</f>
        <v>125.24326270838466</v>
      </c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34"/>
  <sheetViews>
    <sheetView showGridLines="0" workbookViewId="0">
      <selection activeCell="G19" sqref="G19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178</v>
      </c>
      <c r="C3" s="144"/>
      <c r="D3" s="145"/>
      <c r="E3" s="3" t="s">
        <v>3</v>
      </c>
      <c r="F3" s="6">
        <v>64</v>
      </c>
      <c r="G3" s="9"/>
      <c r="H3" s="3" t="s">
        <v>4</v>
      </c>
      <c r="I3" s="6"/>
      <c r="J3" s="9">
        <v>240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105</v>
      </c>
      <c r="B6" s="140"/>
      <c r="C6" s="141"/>
      <c r="D6" s="7">
        <v>200</v>
      </c>
      <c r="E6" s="30">
        <v>12</v>
      </c>
      <c r="F6" s="8">
        <v>200</v>
      </c>
      <c r="G6" s="31">
        <f>(F6*E6)/D6</f>
        <v>12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12</v>
      </c>
      <c r="B7" s="140"/>
      <c r="C7" s="141"/>
      <c r="D7" s="7">
        <v>1000</v>
      </c>
      <c r="E7" s="30">
        <v>4.5</v>
      </c>
      <c r="F7" s="8">
        <v>150</v>
      </c>
      <c r="G7" s="31">
        <f t="shared" ref="G7:G19" si="0">(F7*E7)/D7</f>
        <v>0.67500000000000004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179</v>
      </c>
      <c r="B8" s="140"/>
      <c r="C8" s="141"/>
      <c r="D8" s="7">
        <v>1000</v>
      </c>
      <c r="E8" s="30">
        <v>16</v>
      </c>
      <c r="F8" s="8">
        <v>250</v>
      </c>
      <c r="G8" s="31">
        <f t="shared" si="0"/>
        <v>4</v>
      </c>
      <c r="H8" s="4"/>
      <c r="I8" s="154" t="s">
        <v>114</v>
      </c>
      <c r="J8" s="155"/>
      <c r="K8" s="108">
        <f>Custos!L15</f>
        <v>9.469696969696971E-2</v>
      </c>
    </row>
    <row r="9" spans="1:18" ht="15" customHeight="1" x14ac:dyDescent="0.25">
      <c r="A9" s="139" t="s">
        <v>180</v>
      </c>
      <c r="B9" s="140"/>
      <c r="C9" s="141"/>
      <c r="D9" s="7">
        <v>3000</v>
      </c>
      <c r="E9" s="30">
        <v>50</v>
      </c>
      <c r="F9" s="8">
        <v>100</v>
      </c>
      <c r="G9" s="31">
        <f t="shared" si="0"/>
        <v>1.6666666666666667</v>
      </c>
      <c r="H9" s="4"/>
      <c r="J9" s="4"/>
      <c r="K9" s="5"/>
    </row>
    <row r="10" spans="1:18" ht="15" customHeight="1" x14ac:dyDescent="0.25">
      <c r="A10" s="139" t="s">
        <v>21</v>
      </c>
      <c r="B10" s="140"/>
      <c r="C10" s="141"/>
      <c r="D10" s="7">
        <v>200</v>
      </c>
      <c r="E10" s="30">
        <v>34</v>
      </c>
      <c r="F10" s="8">
        <v>15</v>
      </c>
      <c r="G10" s="31">
        <f t="shared" si="0"/>
        <v>2.5499999999999998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14</v>
      </c>
      <c r="B11" s="140"/>
      <c r="C11" s="141"/>
      <c r="D11" s="7">
        <v>1000</v>
      </c>
      <c r="E11" s="30">
        <v>4.5</v>
      </c>
      <c r="F11" s="8">
        <v>475</v>
      </c>
      <c r="G11" s="31">
        <f t="shared" si="0"/>
        <v>2.1375000000000002</v>
      </c>
      <c r="H11" s="4"/>
      <c r="I11" s="21" t="s">
        <v>20</v>
      </c>
      <c r="J11" s="22"/>
      <c r="K11" s="22"/>
      <c r="L11" s="23">
        <f>K7*J3</f>
        <v>5.2888888888888888</v>
      </c>
      <c r="P11" s="106"/>
    </row>
    <row r="12" spans="1:18" ht="15" customHeight="1" x14ac:dyDescent="0.25">
      <c r="A12" s="139" t="s">
        <v>17</v>
      </c>
      <c r="B12" s="140"/>
      <c r="C12" s="141"/>
      <c r="D12" s="7">
        <v>250</v>
      </c>
      <c r="E12" s="30">
        <v>8</v>
      </c>
      <c r="F12" s="8">
        <v>10</v>
      </c>
      <c r="G12" s="31">
        <f t="shared" si="0"/>
        <v>0.32</v>
      </c>
      <c r="H12" s="4"/>
      <c r="I12" s="24" t="s">
        <v>22</v>
      </c>
      <c r="J12" s="4"/>
      <c r="K12" s="4"/>
      <c r="L12" s="25">
        <f>G20</f>
        <v>71.82315040650407</v>
      </c>
    </row>
    <row r="13" spans="1:18" ht="15" customHeight="1" x14ac:dyDescent="0.25">
      <c r="A13" s="139" t="s">
        <v>181</v>
      </c>
      <c r="B13" s="140"/>
      <c r="C13" s="141"/>
      <c r="D13" s="7">
        <v>50</v>
      </c>
      <c r="E13" s="30">
        <v>3</v>
      </c>
      <c r="F13" s="8">
        <v>5</v>
      </c>
      <c r="G13" s="31">
        <f t="shared" si="0"/>
        <v>0.3</v>
      </c>
      <c r="H13" s="4"/>
      <c r="I13" s="26" t="s">
        <v>24</v>
      </c>
      <c r="J13" s="27"/>
      <c r="K13" s="27"/>
      <c r="L13" s="28">
        <f>K8*J3</f>
        <v>22.72727272727273</v>
      </c>
    </row>
    <row r="14" spans="1:18" ht="15" customHeight="1" x14ac:dyDescent="0.25">
      <c r="A14" s="139" t="s">
        <v>139</v>
      </c>
      <c r="B14" s="140"/>
      <c r="C14" s="141"/>
      <c r="D14" s="7">
        <v>2050</v>
      </c>
      <c r="E14" s="8">
        <v>65</v>
      </c>
      <c r="F14" s="8">
        <v>400</v>
      </c>
      <c r="G14" s="31"/>
      <c r="H14" s="4"/>
      <c r="I14" s="125" t="s">
        <v>26</v>
      </c>
      <c r="J14" s="126"/>
      <c r="K14" s="126"/>
      <c r="L14" s="127">
        <f>SUM(L11:L13)</f>
        <v>99.839312022665695</v>
      </c>
      <c r="P14" s="106"/>
    </row>
    <row r="15" spans="1:18" ht="15" customHeight="1" x14ac:dyDescent="0.25">
      <c r="A15" s="139" t="s">
        <v>182</v>
      </c>
      <c r="B15" s="140"/>
      <c r="C15" s="141"/>
      <c r="D15" s="7">
        <v>2050</v>
      </c>
      <c r="E15" s="8">
        <v>130</v>
      </c>
      <c r="F15" s="8">
        <v>500</v>
      </c>
      <c r="G15" s="31">
        <f t="shared" si="0"/>
        <v>31.707317073170731</v>
      </c>
      <c r="H15" s="4"/>
      <c r="I15" s="3" t="s">
        <v>28</v>
      </c>
      <c r="J15" s="6"/>
      <c r="K15" s="6"/>
      <c r="L15" s="20">
        <f>L14*0.3</f>
        <v>29.951793606799708</v>
      </c>
      <c r="R15" s="106"/>
    </row>
    <row r="16" spans="1:18" ht="15" customHeight="1" x14ac:dyDescent="0.25">
      <c r="A16" s="139" t="s">
        <v>183</v>
      </c>
      <c r="B16" s="140"/>
      <c r="C16" s="141"/>
      <c r="D16" s="7">
        <v>3</v>
      </c>
      <c r="E16" s="8">
        <v>5</v>
      </c>
      <c r="F16" s="8">
        <v>1</v>
      </c>
      <c r="G16" s="31">
        <f t="shared" si="0"/>
        <v>1.6666666666666667</v>
      </c>
      <c r="H16" s="4"/>
      <c r="I16" s="3" t="s">
        <v>32</v>
      </c>
      <c r="J16" s="6"/>
      <c r="K16" s="6"/>
      <c r="L16" s="124">
        <f>L14*0.5</f>
        <v>49.919656011332847</v>
      </c>
    </row>
    <row r="17" spans="1:21" ht="15" customHeight="1" x14ac:dyDescent="0.25">
      <c r="A17" s="139" t="s">
        <v>184</v>
      </c>
      <c r="B17" s="140"/>
      <c r="C17" s="141"/>
      <c r="D17" s="7">
        <v>100</v>
      </c>
      <c r="E17" s="8">
        <v>50</v>
      </c>
      <c r="F17" s="8">
        <v>64</v>
      </c>
      <c r="G17" s="31"/>
      <c r="H17" s="4"/>
      <c r="I17" s="3" t="s">
        <v>33</v>
      </c>
      <c r="J17" s="6"/>
      <c r="K17" s="6"/>
      <c r="L17" s="20">
        <f>L14*1</f>
        <v>99.839312022665695</v>
      </c>
    </row>
    <row r="18" spans="1:21" ht="15" customHeight="1" x14ac:dyDescent="0.25">
      <c r="A18" s="133"/>
      <c r="B18" s="133" t="s">
        <v>143</v>
      </c>
      <c r="C18" s="133"/>
      <c r="D18" s="4">
        <v>1000</v>
      </c>
      <c r="E18" s="135">
        <v>100</v>
      </c>
      <c r="F18" s="136">
        <v>64</v>
      </c>
      <c r="G18" s="31">
        <f t="shared" si="0"/>
        <v>6.4</v>
      </c>
      <c r="H18" s="4"/>
      <c r="I18" s="4"/>
      <c r="J18" s="4"/>
      <c r="K18" s="4"/>
      <c r="L18" s="14"/>
    </row>
    <row r="19" spans="1:21" ht="15" customHeight="1" x14ac:dyDescent="0.25">
      <c r="A19" s="133"/>
      <c r="B19" s="133" t="s">
        <v>185</v>
      </c>
      <c r="C19" s="133"/>
      <c r="D19" s="4">
        <v>1000</v>
      </c>
      <c r="E19" s="135">
        <v>6</v>
      </c>
      <c r="F19" s="136">
        <v>1400</v>
      </c>
      <c r="G19" s="31">
        <f t="shared" si="0"/>
        <v>8.4</v>
      </c>
      <c r="H19" s="4"/>
      <c r="I19" s="4"/>
      <c r="J19" s="4"/>
      <c r="K19" s="4"/>
      <c r="L19" s="14"/>
    </row>
    <row r="20" spans="1:21" ht="15" customHeight="1" x14ac:dyDescent="0.25">
      <c r="E20" s="10" t="s">
        <v>31</v>
      </c>
      <c r="F20" s="11"/>
      <c r="G20" s="12">
        <f>SUM(G6:G19)</f>
        <v>71.82315040650407</v>
      </c>
      <c r="H20" s="4"/>
      <c r="R20" s="106"/>
    </row>
    <row r="21" spans="1:21" ht="15" customHeight="1" x14ac:dyDescent="0.25">
      <c r="E21" s="10" t="s">
        <v>47</v>
      </c>
      <c r="F21" s="11"/>
      <c r="G21" s="12"/>
      <c r="H21" s="4"/>
      <c r="I21" s="76" t="s">
        <v>34</v>
      </c>
      <c r="J21" s="77"/>
      <c r="K21" s="78"/>
      <c r="L21" s="79">
        <f>L14+L15</f>
        <v>129.79110562946539</v>
      </c>
      <c r="P21" s="106"/>
    </row>
    <row r="22" spans="1:21" ht="15" customHeight="1" x14ac:dyDescent="0.25">
      <c r="G22" s="128"/>
      <c r="H22" s="4"/>
      <c r="I22" s="116" t="s">
        <v>35</v>
      </c>
      <c r="J22" s="117"/>
      <c r="K22" s="118"/>
      <c r="L22" s="119">
        <f>L14+L16</f>
        <v>149.75896803399854</v>
      </c>
    </row>
    <row r="23" spans="1:21" ht="15" customHeight="1" x14ac:dyDescent="0.25">
      <c r="H23" s="4"/>
      <c r="I23" s="120" t="s">
        <v>36</v>
      </c>
      <c r="J23" s="121"/>
      <c r="K23" s="122"/>
      <c r="L23" s="123">
        <f>L14+L17</f>
        <v>199.67862404533139</v>
      </c>
      <c r="P23" s="106"/>
    </row>
    <row r="24" spans="1:21" ht="15" customHeight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21" ht="15" customHeight="1" x14ac:dyDescent="0.25">
      <c r="C25" s="4"/>
      <c r="D25" s="4"/>
      <c r="E25" s="4"/>
      <c r="F25" s="4"/>
      <c r="G25" s="4"/>
      <c r="H25" s="4"/>
      <c r="I25" s="4"/>
      <c r="J25" s="4"/>
      <c r="K25" s="4"/>
      <c r="P25" s="106"/>
      <c r="R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S26" s="106"/>
    </row>
    <row r="27" spans="1:21" ht="15" customHeight="1" x14ac:dyDescent="0.25">
      <c r="B27" s="4"/>
      <c r="C27" s="4"/>
      <c r="D27" s="4"/>
      <c r="E27" s="14"/>
      <c r="F27" s="14"/>
      <c r="G27" s="14"/>
      <c r="H27" s="4"/>
      <c r="I27" s="4"/>
      <c r="J27" s="4"/>
      <c r="K27" s="4"/>
      <c r="T27" s="106"/>
    </row>
    <row r="28" spans="1:21" ht="15" customHeight="1" x14ac:dyDescent="0.25">
      <c r="B28" s="4"/>
      <c r="C28" s="4"/>
      <c r="D28" s="4"/>
      <c r="E28" s="14"/>
      <c r="F28" s="14"/>
      <c r="G28" s="14"/>
      <c r="H28" s="4"/>
      <c r="I28" s="4"/>
      <c r="J28" s="4"/>
      <c r="K28" s="4"/>
      <c r="T28" s="106"/>
    </row>
    <row r="29" spans="1:21" ht="15" customHeight="1" x14ac:dyDescent="0.25">
      <c r="B29" s="15"/>
      <c r="C29" s="4"/>
      <c r="D29" s="4"/>
      <c r="E29" s="14"/>
      <c r="F29" s="14"/>
      <c r="G29" s="14"/>
      <c r="H29" s="4"/>
      <c r="I29" s="4"/>
      <c r="J29" s="4"/>
      <c r="K29" s="4"/>
      <c r="U29" s="106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14"/>
      <c r="F31" s="14"/>
      <c r="G31" s="14"/>
    </row>
    <row r="32" spans="1:21" ht="15" customHeight="1" x14ac:dyDescent="0.25">
      <c r="B32" s="4"/>
      <c r="C32" s="4"/>
      <c r="D32" s="4"/>
      <c r="E32" s="14"/>
      <c r="F32" s="14"/>
      <c r="G32" s="14"/>
    </row>
    <row r="33" spans="2:7" ht="15" customHeight="1" x14ac:dyDescent="0.25">
      <c r="B33" s="4"/>
      <c r="C33" s="4"/>
      <c r="D33" s="4"/>
      <c r="E33" s="4"/>
      <c r="F33" s="4"/>
      <c r="G33" s="4"/>
    </row>
    <row r="34" spans="2:7" ht="15" customHeight="1" x14ac:dyDescent="0.25">
      <c r="B34" s="16"/>
      <c r="C34" s="4"/>
      <c r="D34" s="4"/>
      <c r="E34" s="17"/>
      <c r="F34" s="17"/>
      <c r="G34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32"/>
  <sheetViews>
    <sheetView showGridLines="0" workbookViewId="0">
      <selection activeCell="E9" sqref="E9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186</v>
      </c>
      <c r="C3" s="144"/>
      <c r="D3" s="145"/>
      <c r="E3" s="3" t="s">
        <v>3</v>
      </c>
      <c r="F3" s="6">
        <v>20</v>
      </c>
      <c r="G3" s="9"/>
      <c r="H3" s="3" t="s">
        <v>4</v>
      </c>
      <c r="I3" s="6"/>
      <c r="J3" s="9">
        <v>120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187</v>
      </c>
      <c r="B6" s="140"/>
      <c r="C6" s="141"/>
      <c r="D6" s="7">
        <v>1000</v>
      </c>
      <c r="E6" s="30">
        <v>4.8</v>
      </c>
      <c r="F6" s="8">
        <v>390</v>
      </c>
      <c r="G6" s="31">
        <f>(F6*E6)/D6</f>
        <v>1.8720000000000001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188</v>
      </c>
      <c r="B7" s="140"/>
      <c r="C7" s="141"/>
      <c r="D7" s="7">
        <v>2050</v>
      </c>
      <c r="E7" s="30">
        <v>130</v>
      </c>
      <c r="F7" s="8">
        <v>720</v>
      </c>
      <c r="G7" s="31">
        <f t="shared" ref="G7:G14" si="0">(F7*E7)/D7</f>
        <v>45.658536585365852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180</v>
      </c>
      <c r="B8" s="140"/>
      <c r="C8" s="141"/>
      <c r="D8" s="7">
        <v>3000</v>
      </c>
      <c r="E8" s="30">
        <v>45</v>
      </c>
      <c r="F8" s="8">
        <v>400</v>
      </c>
      <c r="G8" s="31">
        <f t="shared" si="0"/>
        <v>6</v>
      </c>
      <c r="H8" s="4"/>
      <c r="I8" s="154" t="s">
        <v>114</v>
      </c>
      <c r="J8" s="155"/>
      <c r="K8" s="108">
        <f>Custos!L15</f>
        <v>9.469696969696971E-2</v>
      </c>
    </row>
    <row r="9" spans="1:18" ht="15" customHeight="1" x14ac:dyDescent="0.25">
      <c r="A9" s="139" t="s">
        <v>105</v>
      </c>
      <c r="B9" s="140"/>
      <c r="C9" s="141"/>
      <c r="D9" s="7">
        <v>200</v>
      </c>
      <c r="E9" s="30">
        <v>12</v>
      </c>
      <c r="F9" s="8">
        <v>360</v>
      </c>
      <c r="G9" s="31">
        <f t="shared" si="0"/>
        <v>21.6</v>
      </c>
      <c r="H9" s="4"/>
      <c r="J9" s="4"/>
      <c r="K9" s="5"/>
    </row>
    <row r="10" spans="1:18" ht="15" customHeight="1" x14ac:dyDescent="0.25">
      <c r="A10" s="139" t="s">
        <v>12</v>
      </c>
      <c r="B10" s="140"/>
      <c r="C10" s="141"/>
      <c r="D10" s="7">
        <v>1000</v>
      </c>
      <c r="E10" s="30">
        <v>4</v>
      </c>
      <c r="F10" s="8">
        <v>360</v>
      </c>
      <c r="G10" s="31">
        <f t="shared" si="0"/>
        <v>1.44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183</v>
      </c>
      <c r="B11" s="140"/>
      <c r="C11" s="141"/>
      <c r="D11" s="7">
        <v>5</v>
      </c>
      <c r="E11" s="30">
        <v>7.39</v>
      </c>
      <c r="F11" s="8">
        <v>1</v>
      </c>
      <c r="G11" s="31">
        <f t="shared" si="0"/>
        <v>1.478</v>
      </c>
      <c r="H11" s="4"/>
      <c r="I11" s="21" t="s">
        <v>20</v>
      </c>
      <c r="J11" s="22"/>
      <c r="K11" s="22"/>
      <c r="L11" s="23">
        <f>K7*J3</f>
        <v>2.6444444444444444</v>
      </c>
      <c r="P11" s="106"/>
    </row>
    <row r="12" spans="1:18" ht="15" customHeight="1" x14ac:dyDescent="0.25">
      <c r="A12" s="139" t="s">
        <v>189</v>
      </c>
      <c r="B12" s="140"/>
      <c r="C12" s="141"/>
      <c r="D12" s="7">
        <v>1</v>
      </c>
      <c r="E12" s="8">
        <v>12</v>
      </c>
      <c r="F12" s="8">
        <v>1</v>
      </c>
      <c r="G12" s="31">
        <f t="shared" si="0"/>
        <v>12</v>
      </c>
      <c r="H12" s="4"/>
      <c r="I12" s="24" t="s">
        <v>22</v>
      </c>
      <c r="J12" s="4"/>
      <c r="K12" s="4"/>
      <c r="L12" s="25">
        <f>G18</f>
        <v>93.972536585365859</v>
      </c>
    </row>
    <row r="13" spans="1:18" ht="15" customHeight="1" x14ac:dyDescent="0.25">
      <c r="A13" s="139" t="s">
        <v>27</v>
      </c>
      <c r="B13" s="140"/>
      <c r="C13" s="141"/>
      <c r="D13" s="7">
        <v>100</v>
      </c>
      <c r="E13" s="30">
        <v>6.35</v>
      </c>
      <c r="F13" s="8">
        <v>24</v>
      </c>
      <c r="G13" s="31">
        <f t="shared" si="0"/>
        <v>1.5239999999999998</v>
      </c>
      <c r="H13" s="4"/>
      <c r="I13" s="26" t="s">
        <v>24</v>
      </c>
      <c r="J13" s="27"/>
      <c r="K13" s="27"/>
      <c r="L13" s="28">
        <f>K8*J3</f>
        <v>11.363636363636365</v>
      </c>
    </row>
    <row r="14" spans="1:18" ht="15" customHeight="1" x14ac:dyDescent="0.25">
      <c r="A14" s="139" t="s">
        <v>143</v>
      </c>
      <c r="B14" s="140"/>
      <c r="C14" s="141"/>
      <c r="D14" s="7">
        <v>1000</v>
      </c>
      <c r="E14" s="8">
        <v>100</v>
      </c>
      <c r="F14" s="8">
        <v>24</v>
      </c>
      <c r="G14" s="31">
        <f t="shared" si="0"/>
        <v>2.4</v>
      </c>
      <c r="H14" s="4"/>
      <c r="I14" s="125" t="s">
        <v>26</v>
      </c>
      <c r="J14" s="126"/>
      <c r="K14" s="126"/>
      <c r="L14" s="127">
        <f>SUM(L11:L13)</f>
        <v>107.98061739344666</v>
      </c>
      <c r="P14" s="106"/>
    </row>
    <row r="15" spans="1:18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28</v>
      </c>
      <c r="J15" s="6"/>
      <c r="K15" s="6"/>
      <c r="L15" s="20">
        <f>L14*0.3</f>
        <v>32.394185218033996</v>
      </c>
      <c r="R15" s="106"/>
    </row>
    <row r="16" spans="1:18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53.990308696723332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107.98061739344666</v>
      </c>
    </row>
    <row r="18" spans="1:21" ht="15" customHeight="1" x14ac:dyDescent="0.25">
      <c r="E18" s="10" t="s">
        <v>31</v>
      </c>
      <c r="F18" s="11"/>
      <c r="G18" s="12">
        <f>SUM(G6:G15)</f>
        <v>93.972536585365859</v>
      </c>
      <c r="H18" s="4"/>
      <c r="R18" s="106"/>
    </row>
    <row r="19" spans="1:21" ht="15" customHeight="1" x14ac:dyDescent="0.25">
      <c r="E19" s="10" t="s">
        <v>47</v>
      </c>
      <c r="F19" s="11"/>
      <c r="G19" s="12">
        <f>G18/2000</f>
        <v>4.6986268292682931E-2</v>
      </c>
      <c r="H19" s="4"/>
      <c r="I19" s="76" t="s">
        <v>34</v>
      </c>
      <c r="J19" s="77"/>
      <c r="K19" s="78"/>
      <c r="L19" s="79">
        <f>L14+L15</f>
        <v>140.37480261148067</v>
      </c>
      <c r="P19" s="106"/>
    </row>
    <row r="20" spans="1:21" ht="15" customHeight="1" x14ac:dyDescent="0.25">
      <c r="G20" s="128"/>
      <c r="H20" s="4"/>
      <c r="I20" s="116" t="s">
        <v>35</v>
      </c>
      <c r="J20" s="117"/>
      <c r="K20" s="118"/>
      <c r="L20" s="119">
        <f>L14+L16</f>
        <v>161.97092609017</v>
      </c>
    </row>
    <row r="21" spans="1:21" ht="15" customHeight="1" x14ac:dyDescent="0.25">
      <c r="H21" s="4"/>
      <c r="I21" s="120" t="s">
        <v>36</v>
      </c>
      <c r="J21" s="121"/>
      <c r="K21" s="122"/>
      <c r="L21" s="123">
        <f>L14+L17</f>
        <v>215.96123478689333</v>
      </c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0C0C-3B21-4C66-A86E-84F762ADFC04}">
  <dimension ref="A1:U32"/>
  <sheetViews>
    <sheetView showGridLines="0" workbookViewId="0">
      <selection activeCell="E8" sqref="E8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190</v>
      </c>
      <c r="C3" s="144"/>
      <c r="D3" s="145"/>
      <c r="E3" s="3" t="s">
        <v>3</v>
      </c>
      <c r="F3" s="6">
        <v>8</v>
      </c>
      <c r="G3" s="9"/>
      <c r="H3" s="3" t="s">
        <v>4</v>
      </c>
      <c r="I3" s="6"/>
      <c r="J3" s="9">
        <v>180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187</v>
      </c>
      <c r="B6" s="140"/>
      <c r="C6" s="141"/>
      <c r="D6" s="7">
        <v>1000</v>
      </c>
      <c r="E6" s="30">
        <v>4.8</v>
      </c>
      <c r="F6" s="8">
        <v>500</v>
      </c>
      <c r="G6" s="31">
        <f>(F6*E6)/D6</f>
        <v>2.4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188</v>
      </c>
      <c r="B7" s="140"/>
      <c r="C7" s="141"/>
      <c r="D7" s="7">
        <v>2050</v>
      </c>
      <c r="E7" s="30">
        <v>90</v>
      </c>
      <c r="F7" s="8">
        <v>350</v>
      </c>
      <c r="G7" s="31">
        <f t="shared" ref="G7:G15" si="0">(F7*E7)/D7</f>
        <v>15.365853658536585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180</v>
      </c>
      <c r="B8" s="140"/>
      <c r="C8" s="141"/>
      <c r="D8" s="7">
        <v>3000</v>
      </c>
      <c r="E8" s="30">
        <v>36</v>
      </c>
      <c r="F8" s="8">
        <v>150</v>
      </c>
      <c r="G8" s="31">
        <f t="shared" si="0"/>
        <v>1.8</v>
      </c>
      <c r="H8" s="4"/>
      <c r="I8" s="154" t="s">
        <v>114</v>
      </c>
      <c r="J8" s="155"/>
      <c r="K8" s="108">
        <f>Custos!L15</f>
        <v>9.469696969696971E-2</v>
      </c>
    </row>
    <row r="9" spans="1:18" ht="15" customHeight="1" x14ac:dyDescent="0.25">
      <c r="A9" s="139" t="s">
        <v>105</v>
      </c>
      <c r="B9" s="140"/>
      <c r="C9" s="141"/>
      <c r="D9" s="7">
        <v>200</v>
      </c>
      <c r="E9" s="30">
        <v>12</v>
      </c>
      <c r="F9" s="8">
        <v>150</v>
      </c>
      <c r="G9" s="31">
        <f t="shared" si="0"/>
        <v>9</v>
      </c>
      <c r="H9" s="4"/>
      <c r="J9" s="4"/>
      <c r="K9" s="5"/>
    </row>
    <row r="10" spans="1:18" ht="15" customHeight="1" x14ac:dyDescent="0.25">
      <c r="A10" s="139" t="s">
        <v>12</v>
      </c>
      <c r="B10" s="140"/>
      <c r="C10" s="141"/>
      <c r="D10" s="7">
        <v>1000</v>
      </c>
      <c r="E10" s="30">
        <v>4</v>
      </c>
      <c r="F10" s="8">
        <v>90</v>
      </c>
      <c r="G10" s="31">
        <f t="shared" si="0"/>
        <v>0.36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191</v>
      </c>
      <c r="B11" s="140"/>
      <c r="C11" s="141"/>
      <c r="D11" s="7">
        <v>10</v>
      </c>
      <c r="E11" s="30">
        <v>4</v>
      </c>
      <c r="F11" s="8">
        <v>8</v>
      </c>
      <c r="G11" s="31">
        <f t="shared" si="0"/>
        <v>3.2</v>
      </c>
      <c r="H11" s="4"/>
      <c r="I11" s="21" t="s">
        <v>20</v>
      </c>
      <c r="J11" s="22"/>
      <c r="K11" s="22"/>
      <c r="L11" s="23">
        <f>K7*J3</f>
        <v>3.9666666666666663</v>
      </c>
      <c r="P11" s="106"/>
    </row>
    <row r="12" spans="1:18" ht="15" customHeight="1" x14ac:dyDescent="0.25">
      <c r="A12" s="139" t="s">
        <v>192</v>
      </c>
      <c r="B12" s="140"/>
      <c r="C12" s="141"/>
      <c r="D12" s="7">
        <v>125</v>
      </c>
      <c r="E12" s="8">
        <v>9</v>
      </c>
      <c r="F12" s="8">
        <v>10</v>
      </c>
      <c r="G12" s="31">
        <f t="shared" si="0"/>
        <v>0.72</v>
      </c>
      <c r="H12" s="4"/>
      <c r="I12" s="24" t="s">
        <v>22</v>
      </c>
      <c r="J12" s="4"/>
      <c r="K12" s="4"/>
      <c r="L12" s="25">
        <f>G18</f>
        <v>35.562520325203245</v>
      </c>
    </row>
    <row r="13" spans="1:18" ht="15" customHeight="1" x14ac:dyDescent="0.25">
      <c r="A13" s="139" t="s">
        <v>193</v>
      </c>
      <c r="B13" s="140"/>
      <c r="C13" s="141"/>
      <c r="D13" s="7">
        <v>30</v>
      </c>
      <c r="E13" s="30">
        <v>4</v>
      </c>
      <c r="F13" s="8">
        <v>5</v>
      </c>
      <c r="G13" s="31">
        <f t="shared" si="0"/>
        <v>0.66666666666666663</v>
      </c>
      <c r="H13" s="4"/>
      <c r="I13" s="26" t="s">
        <v>24</v>
      </c>
      <c r="J13" s="27"/>
      <c r="K13" s="27"/>
      <c r="L13" s="28">
        <f>K8*J3</f>
        <v>17.045454545454547</v>
      </c>
    </row>
    <row r="14" spans="1:18" ht="15" customHeight="1" x14ac:dyDescent="0.25">
      <c r="A14" s="139" t="s">
        <v>143</v>
      </c>
      <c r="B14" s="140"/>
      <c r="C14" s="141"/>
      <c r="D14" s="7">
        <v>1000</v>
      </c>
      <c r="E14" s="8">
        <v>100</v>
      </c>
      <c r="F14" s="8">
        <v>8</v>
      </c>
      <c r="G14" s="31">
        <f t="shared" si="0"/>
        <v>0.8</v>
      </c>
      <c r="H14" s="4"/>
      <c r="I14" s="125" t="s">
        <v>26</v>
      </c>
      <c r="J14" s="126"/>
      <c r="K14" s="126"/>
      <c r="L14" s="127">
        <f>SUM(L11:L13)</f>
        <v>56.57464153732446</v>
      </c>
      <c r="P14" s="106"/>
    </row>
    <row r="15" spans="1:18" ht="15" customHeight="1" x14ac:dyDescent="0.25">
      <c r="A15" s="139" t="s">
        <v>19</v>
      </c>
      <c r="B15" s="140"/>
      <c r="C15" s="141"/>
      <c r="D15" s="7">
        <v>1000</v>
      </c>
      <c r="E15" s="8">
        <v>5</v>
      </c>
      <c r="F15" s="8">
        <v>250</v>
      </c>
      <c r="G15" s="31">
        <f t="shared" si="0"/>
        <v>1.25</v>
      </c>
      <c r="H15" s="4"/>
      <c r="I15" s="3" t="s">
        <v>28</v>
      </c>
      <c r="J15" s="6"/>
      <c r="K15" s="6"/>
      <c r="L15" s="20">
        <f>L14*0.3</f>
        <v>16.972392461197337</v>
      </c>
      <c r="R15" s="106"/>
    </row>
    <row r="16" spans="1:18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>
        <f>(F16*E16)/D16</f>
        <v>0</v>
      </c>
      <c r="H16" s="4"/>
      <c r="I16" s="3" t="s">
        <v>32</v>
      </c>
      <c r="J16" s="6"/>
      <c r="K16" s="6"/>
      <c r="L16" s="124">
        <f>L14*0.5</f>
        <v>28.28732076866223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>(F17*E17)/D17</f>
        <v>0</v>
      </c>
      <c r="H17" s="4"/>
      <c r="I17" s="3" t="s">
        <v>33</v>
      </c>
      <c r="J17" s="6"/>
      <c r="K17" s="6"/>
      <c r="L17" s="20">
        <f>L14*1</f>
        <v>56.57464153732446</v>
      </c>
    </row>
    <row r="18" spans="1:21" ht="15" customHeight="1" x14ac:dyDescent="0.25">
      <c r="E18" s="10" t="s">
        <v>31</v>
      </c>
      <c r="F18" s="11"/>
      <c r="G18" s="12">
        <f>SUM(G6:G15)</f>
        <v>35.562520325203245</v>
      </c>
      <c r="H18" s="4"/>
      <c r="R18" s="106"/>
    </row>
    <row r="19" spans="1:21" ht="15" customHeight="1" x14ac:dyDescent="0.25">
      <c r="E19" s="10" t="s">
        <v>47</v>
      </c>
      <c r="F19" s="11"/>
      <c r="G19" s="12">
        <f>G18/2000</f>
        <v>1.7781260162601623E-2</v>
      </c>
      <c r="H19" s="4"/>
      <c r="I19" s="76" t="s">
        <v>34</v>
      </c>
      <c r="J19" s="77"/>
      <c r="K19" s="78"/>
      <c r="L19" s="79">
        <f>L14+L15</f>
        <v>73.547033998521798</v>
      </c>
      <c r="P19" s="106"/>
    </row>
    <row r="20" spans="1:21" ht="15" customHeight="1" x14ac:dyDescent="0.25">
      <c r="G20" s="128"/>
      <c r="H20" s="4"/>
      <c r="I20" s="116" t="s">
        <v>35</v>
      </c>
      <c r="J20" s="117"/>
      <c r="K20" s="118"/>
      <c r="L20" s="119">
        <f>L14+L16</f>
        <v>84.861962305986694</v>
      </c>
    </row>
    <row r="21" spans="1:21" ht="15" customHeight="1" x14ac:dyDescent="0.25">
      <c r="H21" s="4"/>
      <c r="I21" s="120" t="s">
        <v>36</v>
      </c>
      <c r="J21" s="121"/>
      <c r="K21" s="122"/>
      <c r="L21" s="123">
        <f>L14+L17</f>
        <v>113.14928307464892</v>
      </c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32"/>
  <sheetViews>
    <sheetView showGridLines="0" workbookViewId="0">
      <selection activeCell="J16" sqref="J16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194</v>
      </c>
      <c r="C3" s="144"/>
      <c r="D3" s="145"/>
      <c r="E3" s="3" t="s">
        <v>3</v>
      </c>
      <c r="F3" s="6"/>
      <c r="G3" s="9">
        <v>25</v>
      </c>
      <c r="H3" s="3" t="s">
        <v>4</v>
      </c>
      <c r="I3" s="6"/>
      <c r="J3" s="9">
        <v>60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187</v>
      </c>
      <c r="B6" s="140"/>
      <c r="C6" s="141"/>
      <c r="D6" s="7">
        <v>1000</v>
      </c>
      <c r="E6" s="8">
        <v>4.8</v>
      </c>
      <c r="F6" s="8">
        <v>390</v>
      </c>
      <c r="G6" s="31">
        <f>(F6*E6)/D6</f>
        <v>1.8720000000000001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12</v>
      </c>
      <c r="B7" s="140"/>
      <c r="C7" s="141"/>
      <c r="D7" s="7">
        <v>1000</v>
      </c>
      <c r="E7" s="8">
        <v>4.5</v>
      </c>
      <c r="F7" s="8">
        <v>360</v>
      </c>
      <c r="G7" s="31">
        <f t="shared" ref="G7:G17" si="0">(F7*E7)/D7</f>
        <v>1.62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101</v>
      </c>
      <c r="B8" s="140"/>
      <c r="C8" s="141"/>
      <c r="D8" s="7">
        <v>900</v>
      </c>
      <c r="E8" s="8">
        <v>7</v>
      </c>
      <c r="F8" s="8">
        <v>240</v>
      </c>
      <c r="G8" s="31">
        <f t="shared" si="0"/>
        <v>1.8666666666666667</v>
      </c>
      <c r="H8" s="4"/>
      <c r="I8" s="154" t="s">
        <v>114</v>
      </c>
      <c r="J8" s="155"/>
      <c r="K8" s="108">
        <v>0.06</v>
      </c>
    </row>
    <row r="9" spans="1:18" ht="15" customHeight="1" x14ac:dyDescent="0.25">
      <c r="A9" s="139" t="s">
        <v>180</v>
      </c>
      <c r="B9" s="140"/>
      <c r="C9" s="141"/>
      <c r="D9" s="7">
        <v>1500</v>
      </c>
      <c r="E9" s="8">
        <v>40</v>
      </c>
      <c r="F9" s="8">
        <v>150</v>
      </c>
      <c r="G9" s="31">
        <f t="shared" si="0"/>
        <v>4</v>
      </c>
      <c r="H9" s="4"/>
      <c r="J9" s="4"/>
      <c r="K9" s="5"/>
    </row>
    <row r="10" spans="1:18" ht="15" customHeight="1" x14ac:dyDescent="0.25">
      <c r="A10" s="139" t="s">
        <v>195</v>
      </c>
      <c r="B10" s="140"/>
      <c r="C10" s="141"/>
      <c r="D10" s="7">
        <v>1000</v>
      </c>
      <c r="E10" s="8">
        <v>10</v>
      </c>
      <c r="F10" s="8">
        <v>380</v>
      </c>
      <c r="G10" s="31">
        <f t="shared" si="0"/>
        <v>3.8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17</v>
      </c>
      <c r="B11" s="140"/>
      <c r="C11" s="141"/>
      <c r="D11" s="7">
        <v>250</v>
      </c>
      <c r="E11" s="8">
        <v>8</v>
      </c>
      <c r="F11" s="8">
        <v>15</v>
      </c>
      <c r="G11" s="31">
        <f t="shared" si="0"/>
        <v>0.48</v>
      </c>
      <c r="H11" s="4"/>
      <c r="I11" s="21" t="s">
        <v>20</v>
      </c>
      <c r="J11" s="22"/>
      <c r="K11" s="22"/>
      <c r="L11" s="23">
        <f>K7*J3</f>
        <v>1.3222222222222222</v>
      </c>
      <c r="P11" s="106"/>
    </row>
    <row r="12" spans="1:18" ht="15" customHeight="1" x14ac:dyDescent="0.25">
      <c r="A12" s="139"/>
      <c r="B12" s="140"/>
      <c r="C12" s="141"/>
      <c r="D12" s="7"/>
      <c r="E12" s="8"/>
      <c r="F12" s="8"/>
      <c r="G12" s="31"/>
      <c r="H12" s="4"/>
      <c r="I12" s="24" t="s">
        <v>22</v>
      </c>
      <c r="J12" s="4"/>
      <c r="K12" s="4"/>
      <c r="L12" s="25">
        <f>G18</f>
        <v>13.638666666666666</v>
      </c>
    </row>
    <row r="13" spans="1:18" ht="15" customHeight="1" x14ac:dyDescent="0.25">
      <c r="A13" s="139" t="s">
        <v>196</v>
      </c>
      <c r="B13" s="140"/>
      <c r="C13" s="141"/>
      <c r="D13" s="7">
        <v>500</v>
      </c>
      <c r="E13" s="8">
        <v>16</v>
      </c>
      <c r="F13" s="8">
        <v>1000</v>
      </c>
      <c r="G13" s="31"/>
      <c r="H13" s="4"/>
      <c r="I13" s="26" t="s">
        <v>24</v>
      </c>
      <c r="J13" s="27"/>
      <c r="K13" s="27"/>
      <c r="L13" s="28">
        <f>K8*J3</f>
        <v>3.5999999999999996</v>
      </c>
    </row>
    <row r="14" spans="1:18" ht="15" customHeight="1" x14ac:dyDescent="0.25">
      <c r="A14" s="139" t="s">
        <v>155</v>
      </c>
      <c r="B14" s="140"/>
      <c r="C14" s="141"/>
      <c r="D14" s="7">
        <v>45</v>
      </c>
      <c r="E14" s="8">
        <v>6</v>
      </c>
      <c r="F14" s="8">
        <v>20</v>
      </c>
      <c r="G14" s="31"/>
      <c r="H14" s="4"/>
      <c r="I14" s="73" t="s">
        <v>26</v>
      </c>
      <c r="J14" s="74"/>
      <c r="K14" s="74"/>
      <c r="L14" s="75">
        <f>SUM(L11:L13)</f>
        <v>18.56088888888889</v>
      </c>
      <c r="P14" s="106"/>
    </row>
    <row r="15" spans="1:18" ht="15" customHeight="1" x14ac:dyDescent="0.25">
      <c r="A15" s="139" t="s">
        <v>197</v>
      </c>
      <c r="B15" s="140"/>
      <c r="C15" s="141"/>
      <c r="D15" s="7">
        <v>1</v>
      </c>
      <c r="E15" s="8">
        <v>10</v>
      </c>
      <c r="F15" s="8">
        <v>1</v>
      </c>
      <c r="G15" s="31"/>
      <c r="H15" s="4"/>
      <c r="I15" s="3" t="s">
        <v>198</v>
      </c>
      <c r="J15" s="110">
        <v>1</v>
      </c>
      <c r="K15" s="6"/>
      <c r="L15" s="20">
        <f>L14*J15</f>
        <v>18.56088888888889</v>
      </c>
      <c r="R15" s="106"/>
    </row>
    <row r="16" spans="1:18" ht="15" customHeight="1" x14ac:dyDescent="0.25">
      <c r="A16" s="139" t="s">
        <v>199</v>
      </c>
      <c r="B16" s="140"/>
      <c r="C16" s="141"/>
      <c r="D16" s="7">
        <v>1</v>
      </c>
      <c r="E16" s="8">
        <v>45</v>
      </c>
      <c r="F16" s="8">
        <v>1</v>
      </c>
      <c r="G16" s="31"/>
      <c r="H16" s="4"/>
      <c r="I16" s="76" t="s">
        <v>29</v>
      </c>
      <c r="J16" s="77"/>
      <c r="K16" s="78"/>
      <c r="L16" s="79">
        <f>SUM(L14:L15)</f>
        <v>37.12177777777778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>
        <f t="shared" si="0"/>
        <v>0</v>
      </c>
      <c r="H17" s="4"/>
      <c r="I17" s="70" t="s">
        <v>30</v>
      </c>
      <c r="J17" s="71"/>
      <c r="K17" s="71"/>
      <c r="L17" s="109"/>
    </row>
    <row r="18" spans="1:21" ht="15" customHeight="1" x14ac:dyDescent="0.25">
      <c r="E18" s="10" t="s">
        <v>31</v>
      </c>
      <c r="F18" s="11"/>
      <c r="G18" s="12">
        <f>SUM(G6:G17)</f>
        <v>13.638666666666666</v>
      </c>
      <c r="H18" s="4"/>
      <c r="R18" s="106"/>
    </row>
    <row r="19" spans="1:21" ht="15" customHeight="1" x14ac:dyDescent="0.25">
      <c r="G19" s="32"/>
      <c r="H19" s="4"/>
      <c r="P19" s="106"/>
    </row>
    <row r="20" spans="1:21" ht="15" customHeight="1" x14ac:dyDescent="0.25">
      <c r="G20" s="32"/>
      <c r="H20" s="4"/>
      <c r="I20" s="4"/>
      <c r="J20" s="4"/>
      <c r="K20" s="4"/>
    </row>
    <row r="21" spans="1:21" ht="15" customHeight="1" x14ac:dyDescent="0.25">
      <c r="H21" s="4"/>
      <c r="I21" s="4"/>
      <c r="J21" s="4"/>
      <c r="K21" s="4"/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3:C13"/>
    <mergeCell ref="A14:C14"/>
    <mergeCell ref="A15:C15"/>
    <mergeCell ref="A16:C16"/>
    <mergeCell ref="A17:C17"/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32"/>
  <sheetViews>
    <sheetView showGridLines="0" workbookViewId="0">
      <selection activeCell="O21" sqref="O21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8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8" ht="15" customHeight="1" x14ac:dyDescent="0.25">
      <c r="A3" s="3" t="s">
        <v>1</v>
      </c>
      <c r="B3" s="144" t="s">
        <v>200</v>
      </c>
      <c r="C3" s="144"/>
      <c r="D3" s="145"/>
      <c r="E3" s="3" t="s">
        <v>3</v>
      </c>
      <c r="F3" s="6">
        <v>1400</v>
      </c>
      <c r="G3" s="9"/>
      <c r="H3" s="3" t="s">
        <v>4</v>
      </c>
      <c r="I3" s="6"/>
      <c r="J3" s="9">
        <v>35</v>
      </c>
    </row>
    <row r="4" spans="1:18" ht="15" customHeight="1" x14ac:dyDescent="0.25">
      <c r="I4" s="4"/>
      <c r="J4" s="4"/>
      <c r="K4" s="4"/>
    </row>
    <row r="5" spans="1:18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8" ht="15" customHeight="1" x14ac:dyDescent="0.25">
      <c r="A6" s="139" t="s">
        <v>187</v>
      </c>
      <c r="B6" s="140"/>
      <c r="C6" s="141"/>
      <c r="D6" s="7">
        <v>1000</v>
      </c>
      <c r="E6" s="8">
        <v>4.8</v>
      </c>
      <c r="F6" s="8">
        <v>390</v>
      </c>
      <c r="G6" s="31">
        <f>(F6*E6)/D6</f>
        <v>1.8720000000000001</v>
      </c>
      <c r="H6" s="4"/>
      <c r="I6" s="149" t="s">
        <v>11</v>
      </c>
      <c r="J6" s="150"/>
      <c r="K6" s="151"/>
    </row>
    <row r="7" spans="1:18" ht="15" customHeight="1" x14ac:dyDescent="0.25">
      <c r="A7" s="139" t="s">
        <v>179</v>
      </c>
      <c r="B7" s="140"/>
      <c r="C7" s="141"/>
      <c r="D7" s="7">
        <v>1000</v>
      </c>
      <c r="E7" s="8">
        <v>12</v>
      </c>
      <c r="F7" s="8">
        <v>180</v>
      </c>
      <c r="G7" s="31">
        <f t="shared" ref="G7:G13" si="0">(F7*E7)/D7</f>
        <v>2.16</v>
      </c>
      <c r="H7" s="4"/>
      <c r="I7" s="154" t="s">
        <v>13</v>
      </c>
      <c r="J7" s="155"/>
      <c r="K7" s="108">
        <f>Custos!F15</f>
        <v>2.2037037037037036E-2</v>
      </c>
    </row>
    <row r="8" spans="1:18" ht="15" customHeight="1" x14ac:dyDescent="0.25">
      <c r="A8" s="139" t="s">
        <v>63</v>
      </c>
      <c r="B8" s="140"/>
      <c r="C8" s="141"/>
      <c r="D8" s="7">
        <v>1000</v>
      </c>
      <c r="E8" s="8">
        <v>40</v>
      </c>
      <c r="F8" s="8">
        <v>150</v>
      </c>
      <c r="G8" s="31">
        <f t="shared" si="0"/>
        <v>6</v>
      </c>
      <c r="H8" s="4"/>
      <c r="I8" s="154" t="s">
        <v>114</v>
      </c>
      <c r="J8" s="155"/>
      <c r="K8" s="108">
        <v>0.06</v>
      </c>
    </row>
    <row r="9" spans="1:18" ht="15" customHeight="1" x14ac:dyDescent="0.25">
      <c r="A9" s="139" t="s">
        <v>201</v>
      </c>
      <c r="B9" s="140"/>
      <c r="C9" s="141"/>
      <c r="D9" s="7">
        <v>1000</v>
      </c>
      <c r="E9" s="8">
        <v>14</v>
      </c>
      <c r="F9" s="8">
        <v>160</v>
      </c>
      <c r="G9" s="31">
        <f t="shared" si="0"/>
        <v>2.2400000000000002</v>
      </c>
      <c r="H9" s="4"/>
      <c r="J9" s="4"/>
      <c r="K9" s="5"/>
    </row>
    <row r="10" spans="1:18" ht="15" customHeight="1" x14ac:dyDescent="0.25">
      <c r="A10" s="139" t="s">
        <v>202</v>
      </c>
      <c r="B10" s="140"/>
      <c r="C10" s="141"/>
      <c r="D10" s="7">
        <v>20</v>
      </c>
      <c r="E10" s="8">
        <v>4</v>
      </c>
      <c r="F10" s="8">
        <v>2</v>
      </c>
      <c r="G10" s="31">
        <f t="shared" si="0"/>
        <v>0.4</v>
      </c>
      <c r="H10" s="4"/>
      <c r="I10" s="64" t="s">
        <v>18</v>
      </c>
      <c r="J10" s="67"/>
      <c r="K10" s="67"/>
      <c r="L10" s="69"/>
    </row>
    <row r="11" spans="1:18" ht="15" customHeight="1" x14ac:dyDescent="0.25">
      <c r="A11" s="139" t="s">
        <v>81</v>
      </c>
      <c r="B11" s="140"/>
      <c r="C11" s="141"/>
      <c r="D11" s="7">
        <v>1000</v>
      </c>
      <c r="E11" s="8">
        <v>6.5</v>
      </c>
      <c r="F11" s="8">
        <v>720</v>
      </c>
      <c r="G11" s="31">
        <f t="shared" si="0"/>
        <v>4.68</v>
      </c>
      <c r="H11" s="4"/>
      <c r="I11" s="21" t="s">
        <v>20</v>
      </c>
      <c r="J11" s="22"/>
      <c r="K11" s="22"/>
      <c r="L11" s="23">
        <f>K7*J3</f>
        <v>0.77129629629629626</v>
      </c>
      <c r="P11" s="106"/>
    </row>
    <row r="12" spans="1:18" ht="15" customHeight="1" x14ac:dyDescent="0.25">
      <c r="A12" s="139" t="s">
        <v>203</v>
      </c>
      <c r="B12" s="140"/>
      <c r="C12" s="141"/>
      <c r="D12" s="7">
        <v>900</v>
      </c>
      <c r="E12" s="8">
        <v>9</v>
      </c>
      <c r="F12" s="8">
        <v>30</v>
      </c>
      <c r="G12" s="31">
        <f t="shared" si="0"/>
        <v>0.3</v>
      </c>
      <c r="H12" s="4"/>
      <c r="I12" s="24" t="s">
        <v>22</v>
      </c>
      <c r="J12" s="4"/>
      <c r="K12" s="4"/>
      <c r="L12" s="25">
        <f>G18</f>
        <v>18.129960000000001</v>
      </c>
    </row>
    <row r="13" spans="1:18" ht="15" customHeight="1" x14ac:dyDescent="0.25">
      <c r="A13" s="139" t="s">
        <v>17</v>
      </c>
      <c r="B13" s="140"/>
      <c r="C13" s="141"/>
      <c r="D13" s="7">
        <v>250</v>
      </c>
      <c r="E13" s="8">
        <v>5.69</v>
      </c>
      <c r="F13" s="8">
        <v>21</v>
      </c>
      <c r="G13" s="31">
        <f t="shared" si="0"/>
        <v>0.47796000000000005</v>
      </c>
      <c r="H13" s="4"/>
      <c r="I13" s="26" t="s">
        <v>24</v>
      </c>
      <c r="J13" s="27"/>
      <c r="K13" s="27"/>
      <c r="L13" s="28">
        <f>K8*J3</f>
        <v>2.1</v>
      </c>
    </row>
    <row r="14" spans="1:18" ht="15" customHeight="1" x14ac:dyDescent="0.25">
      <c r="A14" s="139"/>
      <c r="B14" s="140"/>
      <c r="C14" s="141"/>
      <c r="D14" s="7"/>
      <c r="E14" s="8"/>
      <c r="F14" s="8"/>
      <c r="G14" s="31"/>
      <c r="H14" s="4"/>
      <c r="I14" s="73" t="s">
        <v>26</v>
      </c>
      <c r="J14" s="74"/>
      <c r="K14" s="74"/>
      <c r="L14" s="75">
        <f>SUM(L11:L13)</f>
        <v>21.001256296296297</v>
      </c>
      <c r="P14" s="106"/>
    </row>
    <row r="15" spans="1:18" ht="15" customHeight="1" x14ac:dyDescent="0.25">
      <c r="A15" s="139"/>
      <c r="B15" s="140"/>
      <c r="C15" s="141"/>
      <c r="D15" s="7"/>
      <c r="E15" s="8"/>
      <c r="F15" s="8"/>
      <c r="G15" s="31"/>
      <c r="H15" s="4"/>
      <c r="I15" s="3" t="s">
        <v>198</v>
      </c>
      <c r="J15" s="110">
        <v>0.3</v>
      </c>
      <c r="K15" s="6"/>
      <c r="L15" s="20">
        <f>L14*J15</f>
        <v>6.3003768888888887</v>
      </c>
      <c r="R15" s="106"/>
    </row>
    <row r="16" spans="1:18" ht="15" customHeight="1" x14ac:dyDescent="0.25">
      <c r="A16" s="139"/>
      <c r="B16" s="140"/>
      <c r="C16" s="141"/>
      <c r="D16" s="7">
        <v>1</v>
      </c>
      <c r="E16" s="8">
        <v>0</v>
      </c>
      <c r="F16" s="8">
        <v>0</v>
      </c>
      <c r="G16" s="31"/>
      <c r="H16" s="4"/>
      <c r="I16" s="76" t="s">
        <v>29</v>
      </c>
      <c r="J16" s="77"/>
      <c r="K16" s="78"/>
      <c r="L16" s="79">
        <f>SUM(L14:L15)</f>
        <v>27.301633185185185</v>
      </c>
    </row>
    <row r="17" spans="1:21" ht="15" customHeight="1" x14ac:dyDescent="0.25">
      <c r="A17" s="139"/>
      <c r="B17" s="140"/>
      <c r="C17" s="141"/>
      <c r="D17" s="7">
        <v>1</v>
      </c>
      <c r="E17" s="8">
        <v>0</v>
      </c>
      <c r="F17" s="8">
        <v>0</v>
      </c>
      <c r="G17" s="31"/>
      <c r="H17" s="4"/>
      <c r="I17" s="70" t="s">
        <v>30</v>
      </c>
      <c r="J17" s="71"/>
      <c r="K17" s="71"/>
      <c r="L17" s="109"/>
    </row>
    <row r="18" spans="1:21" ht="15" customHeight="1" x14ac:dyDescent="0.25">
      <c r="E18" s="10" t="s">
        <v>31</v>
      </c>
      <c r="F18" s="11"/>
      <c r="G18" s="12">
        <f>SUM(G6:G17)</f>
        <v>18.129960000000001</v>
      </c>
      <c r="H18" s="4"/>
      <c r="R18" s="106"/>
    </row>
    <row r="19" spans="1:21" ht="15" customHeight="1" x14ac:dyDescent="0.25">
      <c r="G19" s="32">
        <f>G18/F3</f>
        <v>1.2949971428571429E-2</v>
      </c>
      <c r="H19" s="4"/>
      <c r="P19" s="106"/>
    </row>
    <row r="20" spans="1:21" ht="15" customHeight="1" x14ac:dyDescent="0.25">
      <c r="G20" s="32">
        <f>G19*30</f>
        <v>0.38849914285714288</v>
      </c>
      <c r="H20" s="4"/>
      <c r="I20" s="4"/>
      <c r="J20" s="4"/>
      <c r="K20" s="4"/>
    </row>
    <row r="21" spans="1:21" ht="15" customHeight="1" x14ac:dyDescent="0.25">
      <c r="H21" s="4"/>
      <c r="I21" s="4"/>
      <c r="J21" s="4"/>
      <c r="K21" s="4"/>
      <c r="P21" s="106"/>
    </row>
    <row r="22" spans="1:2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2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  <c r="P23" s="106"/>
      <c r="R23" s="106"/>
    </row>
    <row r="24" spans="1:2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  <c r="S24" s="106"/>
    </row>
    <row r="25" spans="1:2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  <c r="T25" s="106"/>
    </row>
    <row r="26" spans="1:2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  <c r="T26" s="106"/>
    </row>
    <row r="27" spans="1:2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  <c r="U27" s="106"/>
    </row>
    <row r="28" spans="1:21" ht="15" customHeight="1" x14ac:dyDescent="0.25">
      <c r="B28" s="4"/>
      <c r="C28" s="4"/>
      <c r="D28" s="4"/>
      <c r="E28" s="14"/>
      <c r="F28" s="14"/>
      <c r="G28" s="14"/>
    </row>
    <row r="29" spans="1:21" ht="15" customHeight="1" x14ac:dyDescent="0.25">
      <c r="B29" s="4"/>
      <c r="C29" s="4"/>
      <c r="D29" s="4"/>
      <c r="E29" s="14"/>
      <c r="F29" s="14"/>
      <c r="G29" s="14"/>
    </row>
    <row r="30" spans="1:21" ht="15" customHeight="1" x14ac:dyDescent="0.25">
      <c r="B30" s="4"/>
      <c r="C30" s="4"/>
      <c r="D30" s="4"/>
      <c r="E30" s="14"/>
      <c r="F30" s="14"/>
      <c r="G30" s="14"/>
    </row>
    <row r="31" spans="1:21" ht="15" customHeight="1" x14ac:dyDescent="0.25">
      <c r="B31" s="4"/>
      <c r="C31" s="4"/>
      <c r="D31" s="4"/>
      <c r="E31" s="4"/>
      <c r="F31" s="4"/>
      <c r="G31" s="4"/>
    </row>
    <row r="32" spans="1:21" ht="15" customHeight="1" x14ac:dyDescent="0.25">
      <c r="B32" s="16"/>
      <c r="C32" s="4"/>
      <c r="D32" s="4"/>
      <c r="E32" s="17"/>
      <c r="F32" s="17"/>
      <c r="G32" s="17"/>
    </row>
  </sheetData>
  <mergeCells count="18">
    <mergeCell ref="A17:C17"/>
    <mergeCell ref="I6:K6"/>
    <mergeCell ref="I7:J7"/>
    <mergeCell ref="I8:J8"/>
    <mergeCell ref="A13:C13"/>
    <mergeCell ref="A14:C14"/>
    <mergeCell ref="A15:C15"/>
    <mergeCell ref="A10:C10"/>
    <mergeCell ref="A11:C11"/>
    <mergeCell ref="A12:C12"/>
    <mergeCell ref="A7:C7"/>
    <mergeCell ref="A8:C8"/>
    <mergeCell ref="A9:C9"/>
    <mergeCell ref="A5:C5"/>
    <mergeCell ref="A1:N1"/>
    <mergeCell ref="B3:D3"/>
    <mergeCell ref="A16:C16"/>
    <mergeCell ref="A6:C6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32"/>
  <sheetViews>
    <sheetView showGridLines="0" workbookViewId="0">
      <selection activeCell="L16" sqref="L16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204</v>
      </c>
      <c r="C3" s="144"/>
      <c r="D3" s="145"/>
      <c r="E3" s="3" t="s">
        <v>3</v>
      </c>
      <c r="F3" s="6">
        <v>12</v>
      </c>
      <c r="G3" s="9"/>
      <c r="H3" s="3" t="s">
        <v>4</v>
      </c>
      <c r="I3" s="6"/>
      <c r="J3" s="9">
        <v>60</v>
      </c>
    </row>
    <row r="4" spans="1:14" ht="15" customHeight="1" x14ac:dyDescent="0.25"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 t="s">
        <v>187</v>
      </c>
      <c r="B6" s="140"/>
      <c r="C6" s="141"/>
      <c r="D6" s="7">
        <v>1000</v>
      </c>
      <c r="E6" s="8">
        <v>4.8</v>
      </c>
      <c r="F6" s="8">
        <v>200</v>
      </c>
      <c r="G6" s="31">
        <f>(F6*E6)/D6</f>
        <v>0.96</v>
      </c>
      <c r="H6" s="4"/>
      <c r="I6" s="149" t="s">
        <v>11</v>
      </c>
      <c r="J6" s="150"/>
      <c r="K6" s="151"/>
    </row>
    <row r="7" spans="1:14" ht="15" customHeight="1" x14ac:dyDescent="0.25">
      <c r="A7" s="139" t="s">
        <v>12</v>
      </c>
      <c r="B7" s="140"/>
      <c r="C7" s="141"/>
      <c r="D7" s="7">
        <v>1000</v>
      </c>
      <c r="E7" s="8">
        <v>5</v>
      </c>
      <c r="F7" s="8">
        <v>200</v>
      </c>
      <c r="G7" s="31">
        <f t="shared" ref="G7:G17" si="0">(F7*E7)/D7</f>
        <v>1</v>
      </c>
      <c r="H7" s="4"/>
      <c r="I7" s="152" t="s">
        <v>13</v>
      </c>
      <c r="J7" s="153"/>
      <c r="K7" s="18">
        <v>0.01</v>
      </c>
    </row>
    <row r="8" spans="1:14" ht="15" customHeight="1" x14ac:dyDescent="0.25">
      <c r="A8" s="139" t="s">
        <v>63</v>
      </c>
      <c r="B8" s="140"/>
      <c r="C8" s="141"/>
      <c r="D8" s="7">
        <v>1000</v>
      </c>
      <c r="E8" s="8">
        <v>32</v>
      </c>
      <c r="F8" s="8">
        <v>40</v>
      </c>
      <c r="G8" s="31">
        <f t="shared" si="0"/>
        <v>1.28</v>
      </c>
      <c r="H8" s="4"/>
      <c r="I8" s="152" t="s">
        <v>15</v>
      </c>
      <c r="J8" s="153"/>
      <c r="K8" s="19">
        <v>0.06</v>
      </c>
    </row>
    <row r="9" spans="1:14" ht="15" customHeight="1" x14ac:dyDescent="0.25">
      <c r="A9" s="139" t="s">
        <v>180</v>
      </c>
      <c r="B9" s="140"/>
      <c r="C9" s="141"/>
      <c r="D9" s="7">
        <v>1500</v>
      </c>
      <c r="E9" s="8">
        <v>19</v>
      </c>
      <c r="F9" s="8">
        <v>200</v>
      </c>
      <c r="G9" s="31">
        <f t="shared" si="0"/>
        <v>2.5333333333333332</v>
      </c>
      <c r="H9" s="4"/>
      <c r="J9" s="4"/>
      <c r="K9" s="5"/>
    </row>
    <row r="10" spans="1:14" ht="15" customHeight="1" x14ac:dyDescent="0.25">
      <c r="A10" s="139" t="s">
        <v>81</v>
      </c>
      <c r="B10" s="140"/>
      <c r="C10" s="141"/>
      <c r="D10" s="7">
        <v>1000</v>
      </c>
      <c r="E10" s="8">
        <v>6.5</v>
      </c>
      <c r="F10" s="8">
        <v>90</v>
      </c>
      <c r="G10" s="31">
        <f t="shared" si="0"/>
        <v>0.58499999999999996</v>
      </c>
      <c r="H10" s="4"/>
      <c r="I10" s="64" t="s">
        <v>18</v>
      </c>
      <c r="J10" s="67"/>
      <c r="K10" s="67"/>
      <c r="L10" s="69">
        <v>112.17</v>
      </c>
    </row>
    <row r="11" spans="1:14" ht="15" customHeight="1" x14ac:dyDescent="0.25">
      <c r="A11" s="139" t="s">
        <v>105</v>
      </c>
      <c r="B11" s="140"/>
      <c r="C11" s="141"/>
      <c r="D11" s="7">
        <v>200</v>
      </c>
      <c r="E11" s="8">
        <v>12</v>
      </c>
      <c r="F11" s="8">
        <v>160</v>
      </c>
      <c r="G11" s="31">
        <f t="shared" si="0"/>
        <v>9.6</v>
      </c>
      <c r="H11" s="4"/>
      <c r="I11" s="21" t="s">
        <v>20</v>
      </c>
      <c r="J11" s="22"/>
      <c r="K11" s="22"/>
      <c r="L11" s="23">
        <f>K7*J3</f>
        <v>0.6</v>
      </c>
    </row>
    <row r="12" spans="1:14" ht="15" customHeight="1" x14ac:dyDescent="0.25">
      <c r="A12" s="139" t="s">
        <v>17</v>
      </c>
      <c r="B12" s="140"/>
      <c r="C12" s="141"/>
      <c r="D12" s="7">
        <v>250</v>
      </c>
      <c r="E12" s="8">
        <v>6</v>
      </c>
      <c r="F12" s="8">
        <v>10</v>
      </c>
      <c r="G12" s="31">
        <f t="shared" si="0"/>
        <v>0.24</v>
      </c>
      <c r="H12" s="4"/>
      <c r="I12" s="24" t="s">
        <v>22</v>
      </c>
      <c r="J12" s="4"/>
      <c r="K12" s="4"/>
      <c r="L12" s="25">
        <f>G18</f>
        <v>47.998333333333328</v>
      </c>
    </row>
    <row r="13" spans="1:14" ht="15" customHeight="1" x14ac:dyDescent="0.25">
      <c r="A13" s="139" t="s">
        <v>205</v>
      </c>
      <c r="B13" s="140"/>
      <c r="C13" s="141"/>
      <c r="D13" s="7">
        <v>100</v>
      </c>
      <c r="E13" s="8">
        <v>6</v>
      </c>
      <c r="F13" s="8">
        <v>100</v>
      </c>
      <c r="G13" s="31">
        <f t="shared" si="0"/>
        <v>6</v>
      </c>
      <c r="H13" s="4"/>
      <c r="I13" s="26" t="s">
        <v>24</v>
      </c>
      <c r="J13" s="27"/>
      <c r="K13" s="27"/>
      <c r="L13" s="28">
        <f>K8*J3</f>
        <v>3.5999999999999996</v>
      </c>
    </row>
    <row r="14" spans="1:14" ht="15" customHeight="1" x14ac:dyDescent="0.25">
      <c r="A14" s="139" t="s">
        <v>25</v>
      </c>
      <c r="B14" s="140"/>
      <c r="C14" s="141"/>
      <c r="D14" s="7">
        <v>1000</v>
      </c>
      <c r="E14" s="30">
        <v>28</v>
      </c>
      <c r="F14" s="8">
        <v>400</v>
      </c>
      <c r="G14" s="31">
        <f t="shared" si="0"/>
        <v>11.2</v>
      </c>
      <c r="H14" s="4"/>
      <c r="I14" s="73" t="s">
        <v>26</v>
      </c>
      <c r="J14" s="74"/>
      <c r="K14" s="74"/>
      <c r="L14" s="75">
        <f>SUM(L11:L13)</f>
        <v>52.198333333333331</v>
      </c>
    </row>
    <row r="15" spans="1:14" ht="15" customHeight="1" x14ac:dyDescent="0.25">
      <c r="A15" s="139" t="s">
        <v>206</v>
      </c>
      <c r="B15" s="140"/>
      <c r="C15" s="141"/>
      <c r="D15" s="7">
        <v>45</v>
      </c>
      <c r="E15" s="8">
        <v>6</v>
      </c>
      <c r="F15" s="8">
        <v>12</v>
      </c>
      <c r="G15" s="31">
        <f t="shared" si="0"/>
        <v>1.6</v>
      </c>
      <c r="H15" s="4"/>
      <c r="I15" s="3" t="s">
        <v>28</v>
      </c>
      <c r="J15" s="6"/>
      <c r="K15" s="6"/>
      <c r="L15" s="20">
        <f>L14*1</f>
        <v>52.198333333333331</v>
      </c>
    </row>
    <row r="16" spans="1:14" ht="15" customHeight="1" x14ac:dyDescent="0.25">
      <c r="A16" s="139" t="s">
        <v>207</v>
      </c>
      <c r="B16" s="140"/>
      <c r="C16" s="141"/>
      <c r="D16" s="7">
        <v>200</v>
      </c>
      <c r="E16" s="30">
        <v>5</v>
      </c>
      <c r="F16" s="8">
        <v>200</v>
      </c>
      <c r="G16" s="31">
        <f t="shared" si="0"/>
        <v>5</v>
      </c>
      <c r="H16" s="4"/>
      <c r="I16" s="76" t="s">
        <v>29</v>
      </c>
      <c r="J16" s="77"/>
      <c r="K16" s="78"/>
      <c r="L16" s="79">
        <f>SUM(L14:L15)</f>
        <v>104.39666666666666</v>
      </c>
    </row>
    <row r="17" spans="1:12" ht="15" customHeight="1" x14ac:dyDescent="0.25">
      <c r="A17" s="139" t="s">
        <v>197</v>
      </c>
      <c r="B17" s="140"/>
      <c r="C17" s="141"/>
      <c r="D17" s="7">
        <v>1</v>
      </c>
      <c r="E17" s="8">
        <v>8</v>
      </c>
      <c r="F17" s="8">
        <v>1</v>
      </c>
      <c r="G17" s="31">
        <f t="shared" si="0"/>
        <v>8</v>
      </c>
      <c r="H17" s="4"/>
      <c r="I17" s="70" t="s">
        <v>30</v>
      </c>
      <c r="J17" s="71"/>
      <c r="K17" s="71"/>
      <c r="L17" s="72"/>
    </row>
    <row r="18" spans="1:12" ht="15" customHeight="1" x14ac:dyDescent="0.25">
      <c r="E18" s="10" t="s">
        <v>31</v>
      </c>
      <c r="F18" s="11"/>
      <c r="G18" s="12">
        <f>SUM(G6:G17)</f>
        <v>47.998333333333328</v>
      </c>
      <c r="H18" s="4"/>
    </row>
    <row r="19" spans="1:12" ht="15" customHeight="1" x14ac:dyDescent="0.25">
      <c r="H19" s="4"/>
    </row>
    <row r="20" spans="1:12" ht="15" customHeight="1" x14ac:dyDescent="0.25">
      <c r="H20" s="4"/>
      <c r="I20" s="4"/>
      <c r="J20" s="4"/>
      <c r="K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18">
    <mergeCell ref="A12:C12"/>
    <mergeCell ref="A1:N1"/>
    <mergeCell ref="B3:D3"/>
    <mergeCell ref="A5:C5"/>
    <mergeCell ref="A6:C6"/>
    <mergeCell ref="I6:K6"/>
    <mergeCell ref="A7:C7"/>
    <mergeCell ref="I7:J7"/>
    <mergeCell ref="A8:C8"/>
    <mergeCell ref="I8:J8"/>
    <mergeCell ref="A9:C9"/>
    <mergeCell ref="A10:C10"/>
    <mergeCell ref="A11:C11"/>
    <mergeCell ref="A13:C13"/>
    <mergeCell ref="A14:C14"/>
    <mergeCell ref="A15:C15"/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32"/>
  <sheetViews>
    <sheetView showGridLines="0" workbookViewId="0">
      <selection activeCell="A14" sqref="A14:C14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/>
      <c r="C3" s="144"/>
      <c r="D3" s="145"/>
      <c r="E3" s="3" t="s">
        <v>3</v>
      </c>
      <c r="F3" s="6"/>
      <c r="G3" s="9"/>
      <c r="H3" s="3" t="s">
        <v>4</v>
      </c>
      <c r="I3" s="6"/>
      <c r="J3" s="9"/>
    </row>
    <row r="4" spans="1:14" ht="15" customHeight="1" x14ac:dyDescent="0.25">
      <c r="H4" s="4"/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/>
      <c r="B6" s="140"/>
      <c r="C6" s="141"/>
      <c r="D6" s="7">
        <v>1</v>
      </c>
      <c r="E6" s="30">
        <v>0</v>
      </c>
      <c r="F6" s="92">
        <v>0</v>
      </c>
      <c r="G6" s="31">
        <f t="shared" ref="G6:G15" si="0">(F6*E6)/D6</f>
        <v>0</v>
      </c>
      <c r="H6" s="4"/>
      <c r="I6" s="149" t="s">
        <v>208</v>
      </c>
      <c r="J6" s="150"/>
      <c r="K6" s="150"/>
      <c r="L6" s="150"/>
      <c r="M6" s="151"/>
    </row>
    <row r="7" spans="1:14" ht="15" customHeight="1" x14ac:dyDescent="0.25">
      <c r="A7" s="139"/>
      <c r="B7" s="140"/>
      <c r="C7" s="141"/>
      <c r="D7" s="7">
        <v>1</v>
      </c>
      <c r="E7" s="30">
        <v>0</v>
      </c>
      <c r="F7" s="92">
        <v>0</v>
      </c>
      <c r="G7" s="31">
        <f t="shared" si="0"/>
        <v>0</v>
      </c>
      <c r="H7" s="4"/>
      <c r="I7" s="160" t="s">
        <v>209</v>
      </c>
      <c r="J7" s="161"/>
      <c r="K7" s="93" t="s">
        <v>210</v>
      </c>
      <c r="L7" s="93" t="s">
        <v>211</v>
      </c>
      <c r="M7" s="94" t="s">
        <v>212</v>
      </c>
    </row>
    <row r="8" spans="1:14" ht="15" customHeight="1" x14ac:dyDescent="0.25">
      <c r="A8" s="139"/>
      <c r="B8" s="140"/>
      <c r="C8" s="141"/>
      <c r="D8" s="7">
        <v>1</v>
      </c>
      <c r="E8" s="30">
        <v>0</v>
      </c>
      <c r="F8" s="92">
        <v>0</v>
      </c>
      <c r="G8" s="31">
        <f t="shared" si="0"/>
        <v>0</v>
      </c>
      <c r="H8" s="4"/>
      <c r="I8" s="158"/>
      <c r="J8" s="159"/>
      <c r="K8" s="6"/>
      <c r="L8" s="6"/>
      <c r="M8" s="95"/>
    </row>
    <row r="9" spans="1:14" ht="15" customHeight="1" x14ac:dyDescent="0.25">
      <c r="A9" s="139"/>
      <c r="B9" s="140"/>
      <c r="C9" s="141"/>
      <c r="D9" s="7">
        <v>1</v>
      </c>
      <c r="E9" s="30">
        <v>0</v>
      </c>
      <c r="F9" s="92">
        <v>0</v>
      </c>
      <c r="G9" s="31">
        <f t="shared" si="0"/>
        <v>0</v>
      </c>
      <c r="H9" s="4"/>
      <c r="I9" s="158"/>
      <c r="J9" s="159"/>
      <c r="K9" s="6"/>
      <c r="L9" s="6"/>
      <c r="M9" s="95"/>
    </row>
    <row r="10" spans="1:14" ht="15" customHeight="1" x14ac:dyDescent="0.25">
      <c r="A10" s="139"/>
      <c r="B10" s="140"/>
      <c r="C10" s="141"/>
      <c r="D10" s="7">
        <v>1</v>
      </c>
      <c r="E10" s="30">
        <v>0</v>
      </c>
      <c r="F10" s="92">
        <v>0</v>
      </c>
      <c r="G10" s="31">
        <f t="shared" si="0"/>
        <v>0</v>
      </c>
      <c r="H10" s="4"/>
      <c r="I10" s="158"/>
      <c r="J10" s="159"/>
      <c r="K10" s="6"/>
      <c r="L10" s="6"/>
      <c r="M10" s="95"/>
    </row>
    <row r="11" spans="1:14" ht="15" customHeight="1" x14ac:dyDescent="0.25">
      <c r="A11" s="139"/>
      <c r="B11" s="140"/>
      <c r="C11" s="141"/>
      <c r="D11" s="7">
        <v>1</v>
      </c>
      <c r="E11" s="30">
        <v>0</v>
      </c>
      <c r="F11" s="92">
        <v>0</v>
      </c>
      <c r="G11" s="31">
        <f t="shared" si="0"/>
        <v>0</v>
      </c>
      <c r="H11" s="4"/>
      <c r="I11" s="158"/>
      <c r="J11" s="159"/>
      <c r="K11" s="6"/>
      <c r="L11" s="6"/>
      <c r="M11" s="95"/>
    </row>
    <row r="12" spans="1:14" ht="15" customHeight="1" x14ac:dyDescent="0.25">
      <c r="A12" s="139"/>
      <c r="B12" s="140"/>
      <c r="C12" s="141"/>
      <c r="D12" s="7">
        <v>1</v>
      </c>
      <c r="E12" s="30">
        <v>0</v>
      </c>
      <c r="F12" s="92">
        <v>0</v>
      </c>
      <c r="G12" s="31">
        <f t="shared" si="0"/>
        <v>0</v>
      </c>
      <c r="H12" s="4"/>
      <c r="I12" s="156"/>
      <c r="J12" s="157"/>
      <c r="K12" s="6"/>
      <c r="L12" s="6"/>
      <c r="M12" s="95"/>
    </row>
    <row r="13" spans="1:14" ht="15" customHeight="1" x14ac:dyDescent="0.25">
      <c r="A13" s="139"/>
      <c r="B13" s="140"/>
      <c r="C13" s="141"/>
      <c r="D13" s="7">
        <v>1</v>
      </c>
      <c r="E13" s="30">
        <v>0</v>
      </c>
      <c r="F13" s="92">
        <v>0</v>
      </c>
      <c r="G13" s="31">
        <f t="shared" si="0"/>
        <v>0</v>
      </c>
      <c r="H13" s="4"/>
      <c r="I13" s="15"/>
      <c r="J13" s="51"/>
      <c r="K13" s="4"/>
      <c r="L13" s="52"/>
      <c r="M13" s="32"/>
    </row>
    <row r="14" spans="1:14" ht="15" customHeight="1" x14ac:dyDescent="0.25">
      <c r="A14" s="139"/>
      <c r="B14" s="140"/>
      <c r="C14" s="141"/>
      <c r="D14" s="7">
        <v>1</v>
      </c>
      <c r="E14" s="30">
        <v>0</v>
      </c>
      <c r="F14" s="92">
        <v>0</v>
      </c>
      <c r="G14" s="31">
        <f t="shared" si="0"/>
        <v>0</v>
      </c>
      <c r="H14" s="4"/>
      <c r="I14" s="65" t="s">
        <v>213</v>
      </c>
      <c r="J14" s="66"/>
      <c r="K14" s="67"/>
      <c r="L14" s="67"/>
      <c r="M14" s="68" t="e">
        <f>AVERAGE(M8:M12)</f>
        <v>#DIV/0!</v>
      </c>
    </row>
    <row r="15" spans="1:14" ht="15" customHeight="1" x14ac:dyDescent="0.25">
      <c r="A15" s="139"/>
      <c r="B15" s="140"/>
      <c r="C15" s="141"/>
      <c r="D15" s="7">
        <v>1</v>
      </c>
      <c r="E15" s="30">
        <v>0</v>
      </c>
      <c r="F15" s="92">
        <v>0</v>
      </c>
      <c r="G15" s="31">
        <f t="shared" si="0"/>
        <v>0</v>
      </c>
      <c r="H15" s="4"/>
      <c r="I15" s="15"/>
      <c r="J15" s="4"/>
      <c r="L15" s="49"/>
    </row>
    <row r="16" spans="1:14" ht="15" customHeight="1" x14ac:dyDescent="0.25">
      <c r="A16" s="139"/>
      <c r="B16" s="140"/>
      <c r="C16" s="141"/>
      <c r="D16" s="7">
        <v>1</v>
      </c>
      <c r="E16" s="30">
        <v>0</v>
      </c>
      <c r="F16" s="92">
        <v>0</v>
      </c>
      <c r="G16" s="31">
        <f>(F16*E16)/D16</f>
        <v>0</v>
      </c>
      <c r="H16" s="4"/>
      <c r="I16" s="57" t="s">
        <v>214</v>
      </c>
      <c r="J16" s="58"/>
      <c r="K16" s="59"/>
      <c r="L16" s="59"/>
      <c r="M16" s="60"/>
    </row>
    <row r="17" spans="1:12" ht="15" customHeight="1" x14ac:dyDescent="0.25">
      <c r="A17" s="139"/>
      <c r="B17" s="140"/>
      <c r="C17" s="141"/>
      <c r="D17" s="7">
        <v>1</v>
      </c>
      <c r="E17" s="30">
        <v>0</v>
      </c>
      <c r="F17" s="92">
        <v>0</v>
      </c>
      <c r="G17" s="31">
        <f>(F17*E17)/D17</f>
        <v>0</v>
      </c>
      <c r="H17" s="4"/>
    </row>
    <row r="18" spans="1:12" ht="15" customHeight="1" x14ac:dyDescent="0.25">
      <c r="E18" s="96" t="s">
        <v>31</v>
      </c>
      <c r="F18" s="97"/>
      <c r="G18" s="98">
        <f>SUM(G6:G17)</f>
        <v>0</v>
      </c>
      <c r="H18" s="4"/>
    </row>
    <row r="19" spans="1:12" ht="15" customHeight="1" x14ac:dyDescent="0.25">
      <c r="E19" s="96" t="s">
        <v>215</v>
      </c>
      <c r="F19" s="97"/>
      <c r="G19" s="98">
        <f>G18/26</f>
        <v>0</v>
      </c>
      <c r="H19" s="4"/>
      <c r="L19" s="53"/>
    </row>
    <row r="20" spans="1:12" ht="15" customHeight="1" x14ac:dyDescent="0.25">
      <c r="E20" s="96" t="s">
        <v>216</v>
      </c>
      <c r="F20" s="97"/>
      <c r="G20" s="98">
        <f>G18/500</f>
        <v>0</v>
      </c>
      <c r="H20" s="4"/>
    </row>
    <row r="21" spans="1:12" ht="15" customHeight="1" x14ac:dyDescent="0.25">
      <c r="H21" s="4"/>
      <c r="I21" s="4"/>
      <c r="J21" s="4"/>
      <c r="K21" s="4"/>
    </row>
    <row r="22" spans="1:12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2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2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2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2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2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2" ht="15" customHeight="1" x14ac:dyDescent="0.25">
      <c r="B28" s="4"/>
      <c r="C28" s="4"/>
      <c r="D28" s="4"/>
      <c r="E28" s="14"/>
      <c r="F28" s="14"/>
      <c r="G28" s="14"/>
    </row>
    <row r="29" spans="1:12" ht="15" customHeight="1" x14ac:dyDescent="0.25">
      <c r="B29" s="4"/>
      <c r="C29" s="4"/>
      <c r="D29" s="4"/>
      <c r="E29" s="14"/>
      <c r="F29" s="14"/>
      <c r="G29" s="14"/>
    </row>
    <row r="30" spans="1:12" ht="15" customHeight="1" x14ac:dyDescent="0.25">
      <c r="B30" s="4"/>
      <c r="C30" s="4"/>
      <c r="D30" s="4"/>
      <c r="E30" s="14"/>
      <c r="F30" s="14"/>
      <c r="G30" s="14"/>
    </row>
    <row r="31" spans="1:12" ht="15" customHeight="1" x14ac:dyDescent="0.25">
      <c r="B31" s="4"/>
      <c r="C31" s="4"/>
      <c r="D31" s="4"/>
      <c r="E31" s="4"/>
      <c r="F31" s="4"/>
      <c r="G31" s="4"/>
    </row>
    <row r="32" spans="1:12" ht="15" customHeight="1" x14ac:dyDescent="0.25">
      <c r="B32" s="16"/>
      <c r="C32" s="4"/>
      <c r="D32" s="4"/>
      <c r="E32" s="17"/>
      <c r="F32" s="17"/>
      <c r="G32" s="17"/>
    </row>
  </sheetData>
  <mergeCells count="22">
    <mergeCell ref="A1:N1"/>
    <mergeCell ref="B3:D3"/>
    <mergeCell ref="A5:C5"/>
    <mergeCell ref="A6:C6"/>
    <mergeCell ref="A7:C7"/>
    <mergeCell ref="I6:M6"/>
    <mergeCell ref="I7:J7"/>
    <mergeCell ref="I11:J11"/>
    <mergeCell ref="A8:C8"/>
    <mergeCell ref="A9:C9"/>
    <mergeCell ref="A10:C10"/>
    <mergeCell ref="A11:C11"/>
    <mergeCell ref="I8:J8"/>
    <mergeCell ref="I9:J9"/>
    <mergeCell ref="I10:J10"/>
    <mergeCell ref="I12:J12"/>
    <mergeCell ref="A14:C14"/>
    <mergeCell ref="A15:C15"/>
    <mergeCell ref="A16:C16"/>
    <mergeCell ref="A17:C17"/>
    <mergeCell ref="A12:C12"/>
    <mergeCell ref="A13:C13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32"/>
  <sheetViews>
    <sheetView showGridLines="0" workbookViewId="0">
      <selection activeCell="L7" sqref="L7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1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3" spans="1:14" ht="15" customHeight="1" x14ac:dyDescent="0.25">
      <c r="A3" s="3" t="s">
        <v>1</v>
      </c>
      <c r="B3" s="144" t="s">
        <v>217</v>
      </c>
      <c r="C3" s="144"/>
      <c r="D3" s="145"/>
      <c r="E3" s="3" t="s">
        <v>3</v>
      </c>
      <c r="F3" s="6">
        <v>12</v>
      </c>
      <c r="G3" s="9"/>
      <c r="H3" s="3" t="s">
        <v>4</v>
      </c>
      <c r="I3" s="6"/>
      <c r="J3" s="9">
        <v>30</v>
      </c>
    </row>
    <row r="4" spans="1:14" ht="15" customHeight="1" x14ac:dyDescent="0.25">
      <c r="H4" s="4"/>
      <c r="I4" s="4"/>
      <c r="J4" s="4"/>
      <c r="K4" s="4"/>
    </row>
    <row r="5" spans="1:14" ht="15" customHeight="1" x14ac:dyDescent="0.25">
      <c r="A5" s="146" t="s">
        <v>5</v>
      </c>
      <c r="B5" s="147"/>
      <c r="C5" s="148"/>
      <c r="D5" s="87" t="s">
        <v>6</v>
      </c>
      <c r="E5" s="88" t="s">
        <v>7</v>
      </c>
      <c r="F5" s="88" t="s">
        <v>8</v>
      </c>
      <c r="G5" s="134" t="s">
        <v>9</v>
      </c>
      <c r="H5" s="4"/>
      <c r="K5" s="4"/>
    </row>
    <row r="6" spans="1:14" ht="15" customHeight="1" x14ac:dyDescent="0.25">
      <c r="A6" s="139"/>
      <c r="B6" s="140"/>
      <c r="C6" s="141"/>
      <c r="D6" s="7">
        <v>1</v>
      </c>
      <c r="E6" s="30">
        <v>0</v>
      </c>
      <c r="F6" s="8">
        <v>0</v>
      </c>
      <c r="G6" s="31">
        <f t="shared" ref="G6:G13" si="0">(F6*E6)/D6</f>
        <v>0</v>
      </c>
      <c r="H6" s="4"/>
      <c r="I6" s="149" t="s">
        <v>218</v>
      </c>
      <c r="J6" s="150"/>
      <c r="K6" s="150"/>
      <c r="L6" s="151"/>
    </row>
    <row r="7" spans="1:14" ht="15" customHeight="1" x14ac:dyDescent="0.25">
      <c r="A7" s="139" t="s">
        <v>219</v>
      </c>
      <c r="B7" s="140"/>
      <c r="C7" s="141"/>
      <c r="D7" s="7">
        <v>200</v>
      </c>
      <c r="E7" s="30">
        <v>12</v>
      </c>
      <c r="F7" s="8">
        <v>160</v>
      </c>
      <c r="G7" s="31">
        <f t="shared" si="0"/>
        <v>9.6</v>
      </c>
      <c r="H7" s="4"/>
      <c r="I7" s="3" t="s">
        <v>220</v>
      </c>
      <c r="J7" s="6"/>
      <c r="K7" s="6"/>
      <c r="L7" s="48"/>
    </row>
    <row r="8" spans="1:14" ht="15" customHeight="1" x14ac:dyDescent="0.25">
      <c r="A8" s="139" t="s">
        <v>63</v>
      </c>
      <c r="B8" s="140"/>
      <c r="C8" s="141"/>
      <c r="D8" s="7">
        <v>1000</v>
      </c>
      <c r="E8" s="30">
        <v>32</v>
      </c>
      <c r="F8" s="8">
        <v>40</v>
      </c>
      <c r="G8" s="31">
        <f t="shared" si="0"/>
        <v>1.28</v>
      </c>
      <c r="H8" s="4"/>
      <c r="I8" s="3" t="s">
        <v>221</v>
      </c>
      <c r="J8" s="29"/>
      <c r="K8" s="6"/>
      <c r="L8" s="47"/>
    </row>
    <row r="9" spans="1:14" ht="15" customHeight="1" x14ac:dyDescent="0.25">
      <c r="A9" s="139" t="s">
        <v>187</v>
      </c>
      <c r="B9" s="140"/>
      <c r="C9" s="141"/>
      <c r="D9" s="7">
        <v>1000</v>
      </c>
      <c r="E9" s="30">
        <v>5</v>
      </c>
      <c r="F9" s="8">
        <v>200</v>
      </c>
      <c r="G9" s="31">
        <f t="shared" si="0"/>
        <v>1</v>
      </c>
      <c r="H9" s="4"/>
      <c r="I9" s="3" t="s">
        <v>222</v>
      </c>
      <c r="J9" s="29"/>
      <c r="K9" s="6"/>
      <c r="L9" s="47">
        <v>30</v>
      </c>
    </row>
    <row r="10" spans="1:14" ht="15" customHeight="1" x14ac:dyDescent="0.25">
      <c r="A10" s="139" t="s">
        <v>12</v>
      </c>
      <c r="B10" s="140"/>
      <c r="C10" s="141"/>
      <c r="D10" s="7">
        <v>1000</v>
      </c>
      <c r="E10" s="30">
        <v>4.5</v>
      </c>
      <c r="F10" s="8">
        <v>200</v>
      </c>
      <c r="G10" s="31">
        <f t="shared" si="0"/>
        <v>0.9</v>
      </c>
      <c r="H10" s="4"/>
      <c r="I10" s="15"/>
      <c r="J10" s="51"/>
      <c r="K10" s="4"/>
      <c r="L10" s="52"/>
    </row>
    <row r="11" spans="1:14" ht="15" customHeight="1" x14ac:dyDescent="0.25">
      <c r="A11" s="139" t="s">
        <v>180</v>
      </c>
      <c r="B11" s="140"/>
      <c r="C11" s="141"/>
      <c r="D11" s="7">
        <v>1500</v>
      </c>
      <c r="E11" s="30">
        <v>19</v>
      </c>
      <c r="F11" s="8">
        <v>200</v>
      </c>
      <c r="G11" s="31">
        <f t="shared" si="0"/>
        <v>2.5333333333333332</v>
      </c>
      <c r="H11" s="4"/>
      <c r="I11" s="65" t="s">
        <v>223</v>
      </c>
      <c r="J11" s="66"/>
      <c r="K11" s="67"/>
      <c r="L11" s="68">
        <f>100/(100-L7-L8-L9)</f>
        <v>1.4285714285714286</v>
      </c>
      <c r="M11" s="32"/>
    </row>
    <row r="12" spans="1:14" ht="15" customHeight="1" x14ac:dyDescent="0.25">
      <c r="A12" s="139" t="s">
        <v>81</v>
      </c>
      <c r="B12" s="140"/>
      <c r="C12" s="141"/>
      <c r="D12" s="7">
        <v>1000</v>
      </c>
      <c r="E12" s="30">
        <v>6.5</v>
      </c>
      <c r="F12" s="8">
        <v>90</v>
      </c>
      <c r="G12" s="31">
        <f t="shared" si="0"/>
        <v>0.58499999999999996</v>
      </c>
      <c r="H12" s="4"/>
      <c r="I12" s="15"/>
      <c r="J12" s="4"/>
      <c r="L12" s="49"/>
    </row>
    <row r="13" spans="1:14" ht="15" customHeight="1" x14ac:dyDescent="0.25">
      <c r="A13" s="139" t="s">
        <v>224</v>
      </c>
      <c r="B13" s="140"/>
      <c r="C13" s="141"/>
      <c r="D13" s="7">
        <v>45</v>
      </c>
      <c r="E13" s="30">
        <v>6</v>
      </c>
      <c r="F13" s="8">
        <v>12</v>
      </c>
      <c r="G13" s="31">
        <f t="shared" si="0"/>
        <v>1.6</v>
      </c>
      <c r="H13" s="4"/>
      <c r="I13" s="2" t="s">
        <v>225</v>
      </c>
      <c r="L13" s="50"/>
      <c r="M13" s="32"/>
    </row>
    <row r="14" spans="1:14" ht="15" customHeight="1" x14ac:dyDescent="0.25">
      <c r="A14" s="139"/>
      <c r="B14" s="140"/>
      <c r="C14" s="141"/>
      <c r="D14" s="7">
        <v>1</v>
      </c>
      <c r="E14" s="30">
        <v>0</v>
      </c>
      <c r="F14" s="8">
        <v>0</v>
      </c>
      <c r="G14" s="31">
        <f>(F14*E14)/D14</f>
        <v>0</v>
      </c>
      <c r="H14" s="4"/>
    </row>
    <row r="15" spans="1:14" ht="15" customHeight="1" x14ac:dyDescent="0.25">
      <c r="A15" s="139"/>
      <c r="B15" s="140"/>
      <c r="C15" s="141"/>
      <c r="D15" s="7">
        <v>1</v>
      </c>
      <c r="E15" s="30">
        <v>0</v>
      </c>
      <c r="F15" s="8">
        <v>0</v>
      </c>
      <c r="G15" s="31">
        <f>(F15*E15)/D15</f>
        <v>0</v>
      </c>
      <c r="H15" s="4"/>
      <c r="I15" s="57" t="s">
        <v>226</v>
      </c>
      <c r="J15" s="58"/>
      <c r="K15" s="59"/>
      <c r="L15" s="60">
        <f>G19*L11</f>
        <v>0.96144688644688647</v>
      </c>
    </row>
    <row r="16" spans="1:14" ht="15" customHeight="1" x14ac:dyDescent="0.25">
      <c r="A16" s="139"/>
      <c r="B16" s="140"/>
      <c r="C16" s="141"/>
      <c r="D16" s="7">
        <v>1</v>
      </c>
      <c r="E16" s="30">
        <v>0</v>
      </c>
      <c r="F16" s="8">
        <v>0</v>
      </c>
      <c r="G16" s="31">
        <f>(F16*E16)/D16</f>
        <v>0</v>
      </c>
      <c r="H16" s="4"/>
      <c r="L16" s="53">
        <f>G19/L15</f>
        <v>0.7</v>
      </c>
    </row>
    <row r="17" spans="1:11" ht="15" customHeight="1" x14ac:dyDescent="0.25">
      <c r="A17" s="139"/>
      <c r="B17" s="140"/>
      <c r="C17" s="141"/>
      <c r="D17" s="7">
        <v>1</v>
      </c>
      <c r="E17" s="30">
        <v>0</v>
      </c>
      <c r="F17" s="8">
        <v>0</v>
      </c>
      <c r="G17" s="31">
        <f>(F17*E17)/D17</f>
        <v>0</v>
      </c>
      <c r="H17" s="4"/>
    </row>
    <row r="18" spans="1:11" ht="15" customHeight="1" x14ac:dyDescent="0.25">
      <c r="E18" s="10" t="s">
        <v>31</v>
      </c>
      <c r="F18" s="11"/>
      <c r="G18" s="12">
        <f>SUM(G6:G17)</f>
        <v>17.498333333333335</v>
      </c>
      <c r="H18" s="4"/>
    </row>
    <row r="19" spans="1:11" ht="15" customHeight="1" x14ac:dyDescent="0.25">
      <c r="E19" s="10" t="s">
        <v>215</v>
      </c>
      <c r="F19" s="11"/>
      <c r="G19" s="12">
        <f>G18/26</f>
        <v>0.67301282051282052</v>
      </c>
      <c r="H19" s="4"/>
    </row>
    <row r="20" spans="1:11" ht="15" customHeight="1" x14ac:dyDescent="0.25">
      <c r="E20" s="10" t="s">
        <v>216</v>
      </c>
      <c r="F20" s="11"/>
      <c r="G20" s="12">
        <f>G18/500</f>
        <v>3.4996666666666669E-2</v>
      </c>
      <c r="H20" s="4"/>
      <c r="I20" s="4"/>
      <c r="J20" s="4"/>
      <c r="K20" s="4"/>
    </row>
    <row r="21" spans="1:11" ht="15" customHeight="1" x14ac:dyDescent="0.25">
      <c r="H21" s="4"/>
      <c r="I21" s="4"/>
      <c r="J21" s="4"/>
      <c r="K21" s="4"/>
    </row>
    <row r="22" spans="1:11" ht="1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" customHeight="1" x14ac:dyDescent="0.25">
      <c r="C23" s="4"/>
      <c r="D23" s="4"/>
      <c r="E23" s="4"/>
      <c r="F23" s="4"/>
      <c r="G23" s="4"/>
      <c r="H23" s="4"/>
      <c r="I23" s="4"/>
      <c r="J23" s="4"/>
      <c r="K23" s="4"/>
    </row>
    <row r="24" spans="1:1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1:1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1:11" ht="15" customHeight="1" x14ac:dyDescent="0.25">
      <c r="B26" s="4"/>
      <c r="C26" s="4"/>
      <c r="D26" s="4"/>
      <c r="E26" s="14"/>
      <c r="F26" s="14"/>
      <c r="G26" s="14"/>
      <c r="H26" s="4"/>
      <c r="I26" s="4"/>
      <c r="J26" s="4"/>
      <c r="K26" s="4"/>
    </row>
    <row r="27" spans="1:11" ht="15" customHeight="1" x14ac:dyDescent="0.25">
      <c r="B27" s="15"/>
      <c r="C27" s="4"/>
      <c r="D27" s="4"/>
      <c r="E27" s="14"/>
      <c r="F27" s="14"/>
      <c r="G27" s="14"/>
      <c r="H27" s="4"/>
      <c r="I27" s="4"/>
      <c r="J27" s="4"/>
      <c r="K27" s="4"/>
    </row>
    <row r="28" spans="1:11" ht="15" customHeight="1" x14ac:dyDescent="0.25">
      <c r="B28" s="4"/>
      <c r="C28" s="4"/>
      <c r="D28" s="4"/>
      <c r="E28" s="14"/>
      <c r="F28" s="14"/>
      <c r="G28" s="14"/>
    </row>
    <row r="29" spans="1:11" ht="15" customHeight="1" x14ac:dyDescent="0.25">
      <c r="B29" s="4"/>
      <c r="C29" s="4"/>
      <c r="D29" s="4"/>
      <c r="E29" s="14"/>
      <c r="F29" s="14"/>
      <c r="G29" s="14"/>
    </row>
    <row r="30" spans="1:11" ht="15" customHeight="1" x14ac:dyDescent="0.25">
      <c r="B30" s="4"/>
      <c r="C30" s="4"/>
      <c r="D30" s="4"/>
      <c r="E30" s="14"/>
      <c r="F30" s="14"/>
      <c r="G30" s="14"/>
    </row>
    <row r="31" spans="1:11" ht="15" customHeight="1" x14ac:dyDescent="0.25">
      <c r="B31" s="4"/>
      <c r="C31" s="4"/>
      <c r="D31" s="4"/>
      <c r="E31" s="4"/>
      <c r="F31" s="4"/>
      <c r="G31" s="4"/>
    </row>
    <row r="32" spans="1:11" ht="15" customHeight="1" x14ac:dyDescent="0.25">
      <c r="B32" s="16"/>
      <c r="C32" s="4"/>
      <c r="D32" s="4"/>
      <c r="E32" s="17"/>
      <c r="F32" s="17"/>
      <c r="G32" s="17"/>
    </row>
  </sheetData>
  <mergeCells count="16">
    <mergeCell ref="A14:C14"/>
    <mergeCell ref="A15:C15"/>
    <mergeCell ref="A16:C16"/>
    <mergeCell ref="A17:C17"/>
    <mergeCell ref="A8:C8"/>
    <mergeCell ref="A9:C9"/>
    <mergeCell ref="A10:C10"/>
    <mergeCell ref="A11:C11"/>
    <mergeCell ref="A12:C12"/>
    <mergeCell ref="A13:C13"/>
    <mergeCell ref="A7:C7"/>
    <mergeCell ref="A1:N1"/>
    <mergeCell ref="B3:D3"/>
    <mergeCell ref="A5:C5"/>
    <mergeCell ref="A6:C6"/>
    <mergeCell ref="I6:L6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47"/>
  <sheetViews>
    <sheetView showGridLines="0" workbookViewId="0">
      <selection activeCell="C50" sqref="C50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16384" width="12.7109375" style="2"/>
  </cols>
  <sheetData>
    <row r="1" spans="1:14" ht="20.100000000000001" customHeight="1" x14ac:dyDescent="0.35">
      <c r="A1" s="162" t="s">
        <v>227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15" customHeigh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x14ac:dyDescent="0.35">
      <c r="A3"/>
      <c r="B3" s="80" t="s">
        <v>228</v>
      </c>
      <c r="C3"/>
      <c r="D3"/>
      <c r="E3"/>
      <c r="F3"/>
      <c r="G3"/>
      <c r="H3"/>
      <c r="I3"/>
      <c r="J3"/>
      <c r="K3"/>
      <c r="L3"/>
      <c r="M3"/>
      <c r="N3"/>
    </row>
    <row r="4" spans="1:14" ht="15" customHeigh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 spans="1:14" ht="15" customHeight="1" x14ac:dyDescent="0.25">
      <c r="A5"/>
      <c r="B5" s="81" t="s">
        <v>229</v>
      </c>
      <c r="C5"/>
      <c r="D5"/>
      <c r="E5"/>
      <c r="F5"/>
      <c r="G5"/>
      <c r="H5"/>
      <c r="I5"/>
      <c r="J5"/>
      <c r="K5"/>
      <c r="L5"/>
      <c r="M5"/>
      <c r="N5"/>
    </row>
    <row r="6" spans="1:14" ht="15" customHeight="1" x14ac:dyDescent="0.25">
      <c r="A6"/>
      <c r="B6" s="81"/>
      <c r="C6"/>
      <c r="D6"/>
      <c r="E6"/>
      <c r="F6"/>
      <c r="G6"/>
      <c r="H6"/>
      <c r="I6"/>
      <c r="J6"/>
      <c r="K6"/>
      <c r="L6"/>
      <c r="M6"/>
      <c r="N6"/>
    </row>
    <row r="7" spans="1:14" ht="15" customHeight="1" x14ac:dyDescent="0.25">
      <c r="A7"/>
      <c r="B7" s="81" t="s">
        <v>230</v>
      </c>
      <c r="C7"/>
      <c r="D7"/>
      <c r="E7"/>
      <c r="F7"/>
      <c r="G7"/>
      <c r="H7"/>
      <c r="I7"/>
      <c r="J7"/>
      <c r="K7"/>
      <c r="L7"/>
      <c r="M7"/>
      <c r="N7"/>
    </row>
    <row r="8" spans="1:14" ht="15" customHeight="1" x14ac:dyDescent="0.25">
      <c r="A8"/>
      <c r="B8"/>
      <c r="C8" t="s">
        <v>231</v>
      </c>
      <c r="D8" s="1"/>
      <c r="E8" s="1"/>
      <c r="F8" s="1"/>
      <c r="G8" s="1"/>
      <c r="H8" s="1"/>
      <c r="I8"/>
      <c r="J8"/>
      <c r="K8"/>
      <c r="L8" s="1"/>
      <c r="M8" s="1"/>
      <c r="N8" s="1"/>
    </row>
    <row r="9" spans="1:14" ht="15" customHeight="1" x14ac:dyDescent="0.25">
      <c r="A9"/>
      <c r="B9"/>
      <c r="C9" t="s">
        <v>232</v>
      </c>
      <c r="D9" s="1"/>
      <c r="E9" s="1"/>
      <c r="F9" s="82"/>
      <c r="G9" s="83"/>
      <c r="H9" s="83"/>
      <c r="I9"/>
      <c r="J9"/>
      <c r="K9"/>
      <c r="L9"/>
      <c r="M9" s="82"/>
      <c r="N9" s="83"/>
    </row>
    <row r="10" spans="1:14" ht="15" customHeight="1" x14ac:dyDescent="0.25">
      <c r="A10"/>
      <c r="B10"/>
      <c r="C10" s="163" t="s">
        <v>233</v>
      </c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83"/>
    </row>
    <row r="11" spans="1:14" ht="15" customHeight="1" x14ac:dyDescent="0.25">
      <c r="A11"/>
      <c r="B11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83"/>
    </row>
    <row r="12" spans="1:14" ht="15" customHeight="1" x14ac:dyDescent="0.25">
      <c r="A12"/>
      <c r="B12"/>
      <c r="C12"/>
      <c r="D12" s="164" t="s">
        <v>234</v>
      </c>
      <c r="E12" s="164"/>
      <c r="F12" s="164"/>
      <c r="G12" s="164"/>
      <c r="H12" s="164"/>
      <c r="I12" s="164"/>
      <c r="J12" s="164"/>
      <c r="K12" s="164"/>
      <c r="L12" s="164"/>
      <c r="M12" s="164"/>
      <c r="N12" s="83"/>
    </row>
    <row r="13" spans="1:14" ht="15" customHeight="1" x14ac:dyDescent="0.25">
      <c r="A13"/>
      <c r="B13"/>
      <c r="C13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83"/>
    </row>
    <row r="14" spans="1:14" ht="15" customHeight="1" x14ac:dyDescent="0.25">
      <c r="A14"/>
      <c r="B14"/>
      <c r="C1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83"/>
    </row>
    <row r="15" spans="1:14" ht="15" customHeight="1" x14ac:dyDescent="0.25">
      <c r="A15"/>
      <c r="B15"/>
      <c r="C15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83"/>
    </row>
    <row r="16" spans="1:14" ht="15" customHeight="1" x14ac:dyDescent="0.25">
      <c r="A16"/>
      <c r="B16" s="81" t="s">
        <v>235</v>
      </c>
      <c r="C16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83"/>
    </row>
    <row r="17" spans="1:14" ht="15" customHeight="1" x14ac:dyDescent="0.25">
      <c r="A17"/>
      <c r="B17"/>
      <c r="C17" s="164" t="s">
        <v>236</v>
      </c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83"/>
    </row>
    <row r="18" spans="1:14" ht="15" customHeight="1" x14ac:dyDescent="0.25">
      <c r="A18"/>
      <c r="B18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83"/>
    </row>
    <row r="19" spans="1:14" ht="15" customHeight="1" x14ac:dyDescent="0.25">
      <c r="A19"/>
      <c r="B19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83"/>
    </row>
    <row r="20" spans="1:14" ht="15" customHeight="1" x14ac:dyDescent="0.25">
      <c r="A20"/>
      <c r="B20" s="81" t="s">
        <v>237</v>
      </c>
      <c r="C20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83"/>
    </row>
    <row r="21" spans="1:14" ht="15" customHeight="1" x14ac:dyDescent="0.25">
      <c r="A21"/>
      <c r="B21"/>
      <c r="C21" t="s">
        <v>238</v>
      </c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83"/>
    </row>
    <row r="22" spans="1:14" ht="15" customHeight="1" x14ac:dyDescent="0.25">
      <c r="A22"/>
      <c r="B22"/>
      <c r="C22" t="s">
        <v>239</v>
      </c>
      <c r="D22" s="90"/>
      <c r="E22" s="1"/>
      <c r="F22" s="82"/>
      <c r="G22" s="83"/>
      <c r="H22" s="84"/>
      <c r="I22"/>
      <c r="J22"/>
      <c r="K22"/>
      <c r="L22"/>
      <c r="M22" s="82"/>
      <c r="N22" s="83"/>
    </row>
    <row r="23" spans="1:14" ht="15" customHeight="1" x14ac:dyDescent="0.25">
      <c r="A23"/>
      <c r="B23"/>
      <c r="C23" t="s">
        <v>240</v>
      </c>
      <c r="D23" s="90"/>
      <c r="E23" s="1"/>
      <c r="F23" s="82"/>
      <c r="G23" s="83"/>
      <c r="H23" s="84"/>
      <c r="I23"/>
      <c r="J23"/>
      <c r="K23"/>
      <c r="L23"/>
      <c r="M23" s="82"/>
      <c r="N23" s="83"/>
    </row>
    <row r="24" spans="1:14" ht="15" customHeight="1" x14ac:dyDescent="0.25">
      <c r="A24"/>
      <c r="B24"/>
      <c r="C24"/>
      <c r="D24" s="90"/>
      <c r="E24" s="1"/>
      <c r="F24" s="82"/>
      <c r="G24" s="83"/>
      <c r="H24" s="84"/>
      <c r="I24"/>
      <c r="J24"/>
      <c r="K24"/>
      <c r="L24"/>
      <c r="M24" s="82"/>
      <c r="N24" s="83"/>
    </row>
    <row r="25" spans="1:14" ht="15" customHeight="1" x14ac:dyDescent="0.25">
      <c r="A25"/>
      <c r="B25" s="81" t="s">
        <v>241</v>
      </c>
      <c r="C25"/>
      <c r="D25" s="90"/>
      <c r="E25" s="1"/>
      <c r="F25" s="82"/>
      <c r="G25" s="83"/>
      <c r="H25" s="84"/>
      <c r="I25"/>
      <c r="J25"/>
      <c r="K25"/>
      <c r="L25"/>
      <c r="M25" s="82"/>
      <c r="N25" s="83"/>
    </row>
    <row r="26" spans="1:14" ht="15" customHeight="1" x14ac:dyDescent="0.25">
      <c r="A26"/>
      <c r="B26"/>
      <c r="C26" s="85" t="s">
        <v>242</v>
      </c>
      <c r="D26" s="1"/>
      <c r="E26" s="1"/>
      <c r="F26" s="82"/>
      <c r="G26" s="83"/>
      <c r="H26" s="83"/>
      <c r="I26"/>
      <c r="J26"/>
      <c r="K26"/>
      <c r="L26"/>
      <c r="M26" s="82"/>
      <c r="N26" s="83"/>
    </row>
    <row r="27" spans="1:14" ht="15" customHeight="1" x14ac:dyDescent="0.25">
      <c r="A27"/>
      <c r="B27"/>
      <c r="C27" t="s">
        <v>243</v>
      </c>
      <c r="D27" s="1"/>
      <c r="E27" s="1"/>
      <c r="F27" s="82"/>
      <c r="G27" s="83"/>
      <c r="H27" s="83"/>
      <c r="I27"/>
      <c r="J27"/>
      <c r="K27"/>
      <c r="L27"/>
      <c r="M27" s="82"/>
      <c r="N27" s="83"/>
    </row>
    <row r="28" spans="1:14" ht="15" customHeight="1" x14ac:dyDescent="0.25">
      <c r="A28"/>
      <c r="B28"/>
      <c r="C28" t="s">
        <v>244</v>
      </c>
      <c r="D28" s="1"/>
      <c r="E28" s="1"/>
      <c r="F28" s="82"/>
      <c r="G28" s="83"/>
      <c r="H28" s="84"/>
      <c r="I28"/>
      <c r="J28"/>
      <c r="K28"/>
      <c r="L28"/>
      <c r="M28" s="82"/>
      <c r="N28" s="83"/>
    </row>
    <row r="29" spans="1:14" ht="15" customHeight="1" x14ac:dyDescent="0.25">
      <c r="A29"/>
      <c r="B29"/>
      <c r="C29" t="s">
        <v>245</v>
      </c>
      <c r="D29" s="1"/>
      <c r="E29" s="1"/>
      <c r="F29" s="82"/>
      <c r="G29" s="83"/>
      <c r="H29" s="83"/>
      <c r="I29"/>
      <c r="J29"/>
      <c r="K29"/>
      <c r="L29"/>
      <c r="M29" s="82"/>
      <c r="N29" s="83"/>
    </row>
    <row r="30" spans="1:14" ht="15" customHeight="1" x14ac:dyDescent="0.25">
      <c r="A30"/>
      <c r="B30"/>
      <c r="C30" t="s">
        <v>246</v>
      </c>
      <c r="D30" s="1"/>
      <c r="E30" s="1"/>
      <c r="F30" s="82"/>
      <c r="G30" s="83"/>
      <c r="H30" s="83"/>
      <c r="I30"/>
      <c r="J30"/>
      <c r="K30"/>
      <c r="L30"/>
      <c r="M30" s="82"/>
      <c r="N30" s="83"/>
    </row>
    <row r="31" spans="1:14" ht="15" customHeight="1" x14ac:dyDescent="0.25">
      <c r="A31"/>
      <c r="B31"/>
      <c r="C31" t="s">
        <v>247</v>
      </c>
      <c r="D31"/>
      <c r="E31"/>
      <c r="F31"/>
      <c r="G31"/>
      <c r="H31"/>
      <c r="I31"/>
      <c r="J31"/>
      <c r="K31"/>
      <c r="L31"/>
      <c r="M31"/>
      <c r="N31" s="83"/>
    </row>
    <row r="32" spans="1:14" ht="1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 s="83"/>
    </row>
    <row r="33" spans="1:14" ht="15" customHeight="1" x14ac:dyDescent="0.25">
      <c r="A33"/>
      <c r="B33"/>
      <c r="C33" s="101" t="s">
        <v>248</v>
      </c>
      <c r="D33" s="1"/>
      <c r="E33" s="1"/>
      <c r="F33" s="82"/>
      <c r="G33" s="83"/>
      <c r="H33" s="83"/>
      <c r="I33"/>
      <c r="J33"/>
      <c r="K33"/>
      <c r="L33"/>
      <c r="M33" s="82"/>
      <c r="N33" s="83"/>
    </row>
    <row r="34" spans="1:14" ht="15" customHeight="1" x14ac:dyDescent="0.25">
      <c r="A34"/>
      <c r="B34" s="81"/>
      <c r="C34" t="s">
        <v>249</v>
      </c>
      <c r="D34" s="1"/>
      <c r="E34" s="1"/>
      <c r="F34" s="82"/>
      <c r="G34" s="83"/>
      <c r="H34" s="83"/>
      <c r="I34"/>
      <c r="J34"/>
      <c r="K34"/>
      <c r="L34"/>
      <c r="M34" s="82"/>
      <c r="N34" s="83"/>
    </row>
    <row r="35" spans="1:14" ht="15" customHeight="1" x14ac:dyDescent="0.25">
      <c r="A35"/>
      <c r="B35"/>
      <c r="C35" s="99" t="s">
        <v>250</v>
      </c>
      <c r="G35" s="83"/>
      <c r="H35" s="84"/>
      <c r="I35"/>
      <c r="J35"/>
      <c r="K35"/>
      <c r="L35"/>
      <c r="M35" s="82"/>
      <c r="N35" s="83"/>
    </row>
    <row r="36" spans="1:14" ht="15" customHeight="1" x14ac:dyDescent="0.25">
      <c r="A36"/>
      <c r="B36"/>
      <c r="D36" s="99" t="s">
        <v>251</v>
      </c>
      <c r="E36" s="100"/>
      <c r="F36" s="100"/>
      <c r="G36" s="83"/>
      <c r="H36" s="83"/>
      <c r="I36"/>
      <c r="J36"/>
      <c r="K36"/>
      <c r="L36"/>
      <c r="M36" s="82"/>
      <c r="N36" s="83"/>
    </row>
    <row r="37" spans="1:14" ht="15" customHeight="1" x14ac:dyDescent="0.25">
      <c r="A37"/>
      <c r="B37"/>
      <c r="D37" s="99" t="s">
        <v>252</v>
      </c>
      <c r="E37" s="100"/>
      <c r="F37" s="100"/>
      <c r="G37" s="83"/>
      <c r="H37" s="83"/>
      <c r="I37"/>
      <c r="J37"/>
      <c r="K37"/>
      <c r="L37"/>
      <c r="M37" s="82"/>
      <c r="N37" s="83"/>
    </row>
    <row r="38" spans="1:14" ht="15" customHeight="1" x14ac:dyDescent="0.25">
      <c r="A38"/>
      <c r="B38"/>
      <c r="D38" s="99" t="s">
        <v>253</v>
      </c>
      <c r="E38" s="100"/>
      <c r="F38" s="100"/>
      <c r="G38" s="83"/>
      <c r="H38" s="83"/>
      <c r="I38"/>
      <c r="J38"/>
      <c r="K38"/>
      <c r="L38"/>
      <c r="M38" s="82"/>
      <c r="N38" s="83"/>
    </row>
    <row r="39" spans="1:14" ht="15" customHeight="1" x14ac:dyDescent="0.25">
      <c r="A39"/>
      <c r="B39"/>
      <c r="D39"/>
      <c r="E39" s="1"/>
      <c r="F39" s="1"/>
      <c r="G39" s="83"/>
      <c r="H39" s="83"/>
      <c r="I39"/>
      <c r="J39"/>
      <c r="K39"/>
      <c r="L39"/>
      <c r="M39" s="82"/>
      <c r="N39" s="83"/>
    </row>
    <row r="40" spans="1:14" ht="1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x14ac:dyDescent="0.25">
      <c r="A41"/>
      <c r="B41" s="81" t="s">
        <v>254</v>
      </c>
      <c r="C41"/>
      <c r="D41"/>
      <c r="E41"/>
      <c r="F41"/>
      <c r="G41"/>
      <c r="H41"/>
      <c r="I41"/>
      <c r="J41"/>
      <c r="K41"/>
      <c r="L41"/>
      <c r="M41"/>
      <c r="N41"/>
    </row>
    <row r="42" spans="1:14" ht="15" customHeight="1" x14ac:dyDescent="0.25">
      <c r="A42"/>
      <c r="B42"/>
      <c r="C42"/>
      <c r="D42"/>
      <c r="E42"/>
      <c r="F42"/>
      <c r="G42"/>
      <c r="H42"/>
      <c r="I42"/>
      <c r="J42"/>
      <c r="K42"/>
      <c r="L42" s="86"/>
      <c r="M42"/>
      <c r="N42"/>
    </row>
    <row r="43" spans="1:14" ht="15" customHeight="1" x14ac:dyDescent="0.25">
      <c r="A43"/>
      <c r="B43" s="81" t="s">
        <v>255</v>
      </c>
      <c r="C43"/>
      <c r="D43"/>
      <c r="E43"/>
      <c r="F43"/>
      <c r="G43"/>
      <c r="H43"/>
      <c r="I43"/>
      <c r="J43"/>
      <c r="K43"/>
      <c r="L43" s="86"/>
      <c r="M43"/>
      <c r="N43"/>
    </row>
    <row r="44" spans="1:14" ht="15" customHeight="1" x14ac:dyDescent="0.25">
      <c r="A44"/>
      <c r="B44"/>
      <c r="C44"/>
      <c r="D44"/>
      <c r="E44"/>
      <c r="F44"/>
      <c r="G44"/>
      <c r="H44"/>
      <c r="I44"/>
      <c r="J44"/>
      <c r="K44"/>
      <c r="L44" s="86"/>
      <c r="M44"/>
      <c r="N44"/>
    </row>
    <row r="45" spans="1:14" ht="15" customHeight="1" x14ac:dyDescent="0.25">
      <c r="A45"/>
      <c r="B45" s="81" t="s">
        <v>256</v>
      </c>
      <c r="C45"/>
      <c r="D45"/>
      <c r="E45"/>
      <c r="F45"/>
      <c r="G45"/>
      <c r="H45"/>
      <c r="I45"/>
      <c r="J45"/>
      <c r="K45"/>
      <c r="L45" s="86"/>
      <c r="M45"/>
      <c r="N45"/>
    </row>
    <row r="46" spans="1:14" ht="1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ht="15" customHeight="1" x14ac:dyDescent="0.25">
      <c r="A47"/>
      <c r="B47" s="81" t="s">
        <v>257</v>
      </c>
      <c r="C47"/>
      <c r="D47"/>
      <c r="E47"/>
      <c r="F47"/>
      <c r="G47"/>
      <c r="H47"/>
      <c r="I47"/>
      <c r="J47"/>
      <c r="K47"/>
      <c r="L47"/>
      <c r="M47"/>
      <c r="N47"/>
    </row>
  </sheetData>
  <mergeCells count="4">
    <mergeCell ref="A1:N1"/>
    <mergeCell ref="C10:M11"/>
    <mergeCell ref="D12:M14"/>
    <mergeCell ref="C17:M18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1"/>
  <sheetViews>
    <sheetView showGridLines="0" workbookViewId="0">
      <selection activeCell="L6" sqref="L6"/>
    </sheetView>
  </sheetViews>
  <sheetFormatPr defaultColWidth="12.7109375" defaultRowHeight="15" customHeight="1" x14ac:dyDescent="0.25"/>
  <cols>
    <col min="1" max="3" width="12.7109375" style="2"/>
    <col min="4" max="7" width="15.7109375" style="2" customWidth="1"/>
    <col min="8" max="9" width="12.7109375" style="2"/>
    <col min="10" max="10" width="29.140625" style="2" bestFit="1" customWidth="1"/>
    <col min="11" max="11" width="13.28515625" style="2" customWidth="1"/>
    <col min="12" max="16384" width="12.7109375" style="2"/>
  </cols>
  <sheetData>
    <row r="1" spans="1:14" ht="15" customHeight="1" x14ac:dyDescent="0.25">
      <c r="A1" s="165" t="s">
        <v>258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3"/>
      <c r="N1" s="13"/>
    </row>
    <row r="3" spans="1:14" ht="15" customHeight="1" x14ac:dyDescent="0.25">
      <c r="A3" s="166" t="s">
        <v>259</v>
      </c>
      <c r="B3" s="167"/>
      <c r="C3" s="167"/>
      <c r="D3" s="167"/>
      <c r="E3" s="167"/>
      <c r="F3" s="167"/>
      <c r="G3" s="4"/>
      <c r="H3" s="172" t="s">
        <v>260</v>
      </c>
      <c r="I3" s="173"/>
      <c r="J3" s="173"/>
      <c r="K3" s="173"/>
      <c r="L3" s="174"/>
      <c r="M3" s="33"/>
    </row>
    <row r="4" spans="1:14" ht="15" customHeight="1" x14ac:dyDescent="0.25">
      <c r="A4" s="168" t="s">
        <v>5</v>
      </c>
      <c r="B4" s="169"/>
      <c r="C4" s="170"/>
      <c r="D4" s="138" t="s">
        <v>261</v>
      </c>
      <c r="E4" s="89" t="s">
        <v>262</v>
      </c>
      <c r="F4" s="89" t="s">
        <v>263</v>
      </c>
      <c r="H4" s="168" t="s">
        <v>5</v>
      </c>
      <c r="I4" s="169"/>
      <c r="J4" s="170"/>
      <c r="K4" s="138" t="s">
        <v>264</v>
      </c>
      <c r="L4" s="89" t="s">
        <v>265</v>
      </c>
    </row>
    <row r="5" spans="1:14" ht="15" customHeight="1" x14ac:dyDescent="0.25">
      <c r="A5" s="156" t="s">
        <v>19</v>
      </c>
      <c r="B5" s="157"/>
      <c r="C5" s="171"/>
      <c r="D5" s="41">
        <v>84</v>
      </c>
      <c r="E5" s="102">
        <v>1</v>
      </c>
      <c r="F5" s="103">
        <f>D5*E5</f>
        <v>84</v>
      </c>
      <c r="G5" s="39"/>
      <c r="H5" s="156">
        <v>1</v>
      </c>
      <c r="I5" s="157"/>
      <c r="J5" s="171"/>
      <c r="K5" s="45" t="s">
        <v>266</v>
      </c>
      <c r="L5" s="42">
        <v>3000</v>
      </c>
    </row>
    <row r="6" spans="1:14" ht="15" customHeight="1" x14ac:dyDescent="0.25">
      <c r="A6" s="156" t="s">
        <v>267</v>
      </c>
      <c r="B6" s="157"/>
      <c r="C6" s="171"/>
      <c r="D6" s="41">
        <v>245</v>
      </c>
      <c r="E6" s="44">
        <v>1</v>
      </c>
      <c r="F6" s="103">
        <f t="shared" ref="F6:F11" si="0">D6*E6</f>
        <v>245</v>
      </c>
      <c r="G6" s="35"/>
      <c r="H6" s="156"/>
      <c r="I6" s="157"/>
      <c r="J6" s="171"/>
      <c r="K6" s="45"/>
      <c r="L6" s="40"/>
    </row>
    <row r="7" spans="1:14" ht="15" customHeight="1" x14ac:dyDescent="0.25">
      <c r="A7" s="156" t="s">
        <v>268</v>
      </c>
      <c r="B7" s="157"/>
      <c r="C7" s="171"/>
      <c r="D7" s="41">
        <v>56</v>
      </c>
      <c r="E7" s="44">
        <v>1</v>
      </c>
      <c r="F7" s="103">
        <f t="shared" si="0"/>
        <v>56</v>
      </c>
      <c r="G7" s="35"/>
      <c r="H7" s="156"/>
      <c r="I7" s="157"/>
      <c r="J7" s="171"/>
      <c r="K7" s="45"/>
      <c r="L7" s="40"/>
    </row>
    <row r="8" spans="1:14" ht="15" customHeight="1" x14ac:dyDescent="0.25">
      <c r="A8" s="156" t="s">
        <v>269</v>
      </c>
      <c r="B8" s="157"/>
      <c r="C8" s="171"/>
      <c r="D8" s="41">
        <v>70</v>
      </c>
      <c r="E8" s="44">
        <v>1</v>
      </c>
      <c r="F8" s="103">
        <f t="shared" si="0"/>
        <v>70</v>
      </c>
      <c r="G8" s="35"/>
      <c r="H8" s="156"/>
      <c r="I8" s="157"/>
      <c r="J8" s="171"/>
      <c r="K8" s="45"/>
      <c r="L8" s="40"/>
    </row>
    <row r="9" spans="1:14" ht="15" customHeight="1" x14ac:dyDescent="0.25">
      <c r="A9" s="156" t="s">
        <v>270</v>
      </c>
      <c r="B9" s="157"/>
      <c r="C9" s="171"/>
      <c r="D9" s="41">
        <v>70</v>
      </c>
      <c r="E9" s="43">
        <v>1</v>
      </c>
      <c r="F9" s="103">
        <f t="shared" si="0"/>
        <v>70</v>
      </c>
      <c r="G9" s="35"/>
      <c r="H9" s="156"/>
      <c r="I9" s="157"/>
      <c r="J9" s="171"/>
      <c r="K9" s="45"/>
      <c r="L9" s="40"/>
    </row>
    <row r="10" spans="1:14" ht="15" customHeight="1" x14ac:dyDescent="0.25">
      <c r="A10" s="156" t="s">
        <v>271</v>
      </c>
      <c r="B10" s="157"/>
      <c r="C10" s="171"/>
      <c r="D10" s="41">
        <v>90</v>
      </c>
      <c r="E10" s="43">
        <v>1</v>
      </c>
      <c r="F10" s="103">
        <v>77</v>
      </c>
      <c r="G10" s="35"/>
      <c r="H10" s="156"/>
      <c r="I10" s="157"/>
      <c r="J10" s="171"/>
      <c r="K10" s="45"/>
      <c r="L10" s="40"/>
    </row>
    <row r="11" spans="1:14" ht="15" customHeight="1" x14ac:dyDescent="0.25">
      <c r="A11" s="156" t="s">
        <v>272</v>
      </c>
      <c r="B11" s="157"/>
      <c r="C11" s="171"/>
      <c r="D11" s="41">
        <v>350</v>
      </c>
      <c r="E11" s="43">
        <v>1</v>
      </c>
      <c r="F11" s="103">
        <f t="shared" si="0"/>
        <v>350</v>
      </c>
      <c r="G11" s="35"/>
      <c r="H11" s="156"/>
      <c r="I11" s="157"/>
      <c r="J11" s="171"/>
      <c r="K11" s="45"/>
      <c r="L11" s="40"/>
    </row>
    <row r="12" spans="1:14" ht="15" customHeight="1" x14ac:dyDescent="0.25">
      <c r="D12" s="54" t="s">
        <v>273</v>
      </c>
      <c r="E12" s="55"/>
      <c r="F12" s="104">
        <f>SUM(F5:F11)</f>
        <v>952</v>
      </c>
      <c r="G12" s="35"/>
      <c r="J12" s="54" t="s">
        <v>273</v>
      </c>
      <c r="K12" s="55"/>
      <c r="L12" s="56">
        <f>SUM(L5:L11)</f>
        <v>3000</v>
      </c>
    </row>
    <row r="13" spans="1:14" ht="15" customHeight="1" x14ac:dyDescent="0.25">
      <c r="D13" s="61" t="s">
        <v>274</v>
      </c>
      <c r="E13" s="62"/>
      <c r="F13" s="105">
        <f>F12/30</f>
        <v>31.733333333333334</v>
      </c>
      <c r="G13" s="35"/>
      <c r="J13" s="61" t="s">
        <v>274</v>
      </c>
      <c r="K13" s="62"/>
      <c r="L13" s="63">
        <f>L12/22</f>
        <v>136.36363636363637</v>
      </c>
      <c r="M13" s="46"/>
    </row>
    <row r="14" spans="1:14" ht="15" customHeight="1" x14ac:dyDescent="0.25">
      <c r="D14" s="61" t="s">
        <v>275</v>
      </c>
      <c r="E14" s="62"/>
      <c r="F14" s="105">
        <f>F13/24</f>
        <v>1.3222222222222222</v>
      </c>
      <c r="G14" s="35"/>
      <c r="J14" s="61" t="s">
        <v>275</v>
      </c>
      <c r="K14" s="62"/>
      <c r="L14" s="63">
        <f>L13/24</f>
        <v>5.6818181818181825</v>
      </c>
    </row>
    <row r="15" spans="1:14" ht="15" customHeight="1" x14ac:dyDescent="0.25">
      <c r="D15" s="61" t="s">
        <v>276</v>
      </c>
      <c r="E15" s="62"/>
      <c r="F15" s="105">
        <f>F14/60</f>
        <v>2.2037037037037036E-2</v>
      </c>
      <c r="G15" s="35"/>
      <c r="J15" s="61" t="s">
        <v>276</v>
      </c>
      <c r="K15" s="62"/>
      <c r="L15" s="63">
        <f>L14/60</f>
        <v>9.469696969696971E-2</v>
      </c>
    </row>
    <row r="16" spans="1:14" ht="15" customHeight="1" x14ac:dyDescent="0.25">
      <c r="D16" s="4"/>
      <c r="E16" s="34"/>
      <c r="F16" s="34"/>
      <c r="G16" s="35"/>
      <c r="H16" s="4"/>
      <c r="I16" s="37"/>
      <c r="L16" s="38"/>
    </row>
    <row r="17" spans="2:11" ht="15" customHeight="1" x14ac:dyDescent="0.25">
      <c r="E17" s="36"/>
      <c r="F17" s="13"/>
      <c r="G17" s="5"/>
      <c r="H17" s="4"/>
    </row>
    <row r="18" spans="2:11" ht="15" customHeight="1" x14ac:dyDescent="0.25">
      <c r="H18" s="4"/>
    </row>
    <row r="19" spans="2:11" ht="15" customHeight="1" x14ac:dyDescent="0.25">
      <c r="H19" s="4"/>
      <c r="I19" s="4"/>
      <c r="J19" s="4"/>
      <c r="K19" s="4"/>
    </row>
    <row r="20" spans="2:11" ht="15" customHeight="1" x14ac:dyDescent="0.25">
      <c r="H20" s="4"/>
      <c r="I20" s="4"/>
      <c r="J20" s="4"/>
      <c r="K20" s="4"/>
    </row>
    <row r="21" spans="2:11" ht="15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</row>
    <row r="23" spans="2:11" ht="15" customHeight="1" x14ac:dyDescent="0.25">
      <c r="B23" s="4"/>
      <c r="C23" s="4"/>
      <c r="D23" s="4"/>
      <c r="E23" s="14"/>
      <c r="F23" s="14"/>
      <c r="G23" s="14"/>
      <c r="H23" s="4"/>
      <c r="I23" s="4"/>
      <c r="J23" s="4"/>
      <c r="K23" s="4"/>
    </row>
    <row r="24" spans="2:11" ht="15" customHeight="1" x14ac:dyDescent="0.25">
      <c r="B24" s="4"/>
      <c r="C24" s="4"/>
      <c r="D24" s="4"/>
      <c r="E24" s="14"/>
      <c r="F24" s="14"/>
      <c r="G24" s="14"/>
      <c r="H24" s="4"/>
      <c r="I24" s="4"/>
      <c r="J24" s="4"/>
      <c r="K24" s="4"/>
    </row>
    <row r="25" spans="2:11" ht="15" customHeight="1" x14ac:dyDescent="0.25">
      <c r="B25" s="4"/>
      <c r="C25" s="4"/>
      <c r="D25" s="4"/>
      <c r="E25" s="14"/>
      <c r="F25" s="14"/>
      <c r="G25" s="14"/>
      <c r="H25" s="4"/>
      <c r="I25" s="4"/>
      <c r="J25" s="4"/>
      <c r="K25" s="4"/>
    </row>
    <row r="26" spans="2:11" ht="15" customHeight="1" x14ac:dyDescent="0.25">
      <c r="B26" s="15"/>
      <c r="C26" s="4"/>
      <c r="D26" s="4"/>
      <c r="E26" s="14"/>
      <c r="F26" s="14"/>
      <c r="G26" s="14"/>
      <c r="H26" s="4"/>
      <c r="I26" s="4"/>
      <c r="J26" s="4"/>
      <c r="K26" s="4"/>
    </row>
    <row r="27" spans="2:11" ht="15" customHeight="1" x14ac:dyDescent="0.25">
      <c r="B27" s="4"/>
      <c r="C27" s="4"/>
      <c r="D27" s="4"/>
      <c r="E27" s="14"/>
      <c r="F27" s="14"/>
      <c r="G27" s="14"/>
    </row>
    <row r="28" spans="2:11" ht="15" customHeight="1" x14ac:dyDescent="0.25">
      <c r="B28" s="4"/>
      <c r="C28" s="4"/>
      <c r="D28" s="4"/>
      <c r="E28" s="14"/>
      <c r="F28" s="14"/>
      <c r="G28" s="14"/>
    </row>
    <row r="29" spans="2:11" ht="15" customHeight="1" x14ac:dyDescent="0.25">
      <c r="B29" s="4"/>
      <c r="C29" s="4"/>
      <c r="D29" s="4"/>
      <c r="E29" s="14"/>
      <c r="F29" s="14"/>
      <c r="G29" s="14"/>
    </row>
    <row r="30" spans="2:11" ht="15" customHeight="1" x14ac:dyDescent="0.25">
      <c r="B30" s="4"/>
      <c r="C30" s="4"/>
      <c r="D30" s="4"/>
      <c r="E30" s="4"/>
      <c r="F30" s="4"/>
      <c r="G30" s="4"/>
    </row>
    <row r="31" spans="2:11" ht="15" customHeight="1" x14ac:dyDescent="0.25">
      <c r="B31" s="16"/>
      <c r="C31" s="4"/>
      <c r="D31" s="4"/>
      <c r="E31" s="17"/>
      <c r="F31" s="17"/>
      <c r="G31" s="17"/>
    </row>
  </sheetData>
  <mergeCells count="19">
    <mergeCell ref="A9:C9"/>
    <mergeCell ref="H9:J9"/>
    <mergeCell ref="A10:C10"/>
    <mergeCell ref="H10:J10"/>
    <mergeCell ref="A11:C11"/>
    <mergeCell ref="H11:J11"/>
    <mergeCell ref="A6:C6"/>
    <mergeCell ref="H6:J6"/>
    <mergeCell ref="A7:C7"/>
    <mergeCell ref="H7:J7"/>
    <mergeCell ref="A8:C8"/>
    <mergeCell ref="H8:J8"/>
    <mergeCell ref="A1:L1"/>
    <mergeCell ref="A3:F3"/>
    <mergeCell ref="A4:C4"/>
    <mergeCell ref="H4:J4"/>
    <mergeCell ref="A5:C5"/>
    <mergeCell ref="H5:J5"/>
    <mergeCell ref="H3:L3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62</vt:i4>
      </vt:variant>
      <vt:variant>
        <vt:lpstr>Gráficos</vt:lpstr>
      </vt:variant>
      <vt:variant>
        <vt:i4>1</vt:i4>
      </vt:variant>
    </vt:vector>
  </HeadingPairs>
  <TitlesOfParts>
    <vt:vector size="63" baseType="lpstr">
      <vt:lpstr>Bem Casado</vt:lpstr>
      <vt:lpstr>cesta  Personalizada</vt:lpstr>
      <vt:lpstr>cesta Simples</vt:lpstr>
      <vt:lpstr>Pasta de Leite em pó</vt:lpstr>
      <vt:lpstr>arroz Doce</vt:lpstr>
      <vt:lpstr>Pasta de chocolate</vt:lpstr>
      <vt:lpstr>massa de bolo meia receita</vt:lpstr>
      <vt:lpstr>Biscoitos decorados (2)</vt:lpstr>
      <vt:lpstr>Bolo 1kg</vt:lpstr>
      <vt:lpstr>Mini BOlo</vt:lpstr>
      <vt:lpstr>Recheio Bolo de pote</vt:lpstr>
      <vt:lpstr>Bolo de pote</vt:lpstr>
      <vt:lpstr>B. Cenoura mo pote</vt:lpstr>
      <vt:lpstr>Sonho</vt:lpstr>
      <vt:lpstr>Pipoca caramelada</vt:lpstr>
      <vt:lpstr>Pipoca Ninho</vt:lpstr>
      <vt:lpstr>Biscoitos decorados</vt:lpstr>
      <vt:lpstr>cone trufado 80g</vt:lpstr>
      <vt:lpstr>bolo no palito</vt:lpstr>
      <vt:lpstr>Trufa M</vt:lpstr>
      <vt:lpstr>Biscoitos estrelinha Natal</vt:lpstr>
      <vt:lpstr>Mini cake donuts</vt:lpstr>
      <vt:lpstr>Biscoitos de gengibre</vt:lpstr>
      <vt:lpstr>BBBrowmie</vt:lpstr>
      <vt:lpstr>pão de mel Boneco</vt:lpstr>
      <vt:lpstr>3 Browmie</vt:lpstr>
      <vt:lpstr>bombom pirâmide </vt:lpstr>
      <vt:lpstr>Mini trufa</vt:lpstr>
      <vt:lpstr>Mini trufa Cereja</vt:lpstr>
      <vt:lpstr>Mini Trufa Coração</vt:lpstr>
      <vt:lpstr>bombom chocolate</vt:lpstr>
      <vt:lpstr>Trufa Quadrado 50g</vt:lpstr>
      <vt:lpstr>PM Quadrado 50g</vt:lpstr>
      <vt:lpstr>pão de mel Medio</vt:lpstr>
      <vt:lpstr>pão de mel Medio 3D</vt:lpstr>
      <vt:lpstr>mini pão de mel</vt:lpstr>
      <vt:lpstr>Pirulito Personalizado</vt:lpstr>
      <vt:lpstr>Pirulito Simples</vt:lpstr>
      <vt:lpstr>Brigadeiro boleado (2)</vt:lpstr>
      <vt:lpstr>Brigadeiro boleado</vt:lpstr>
      <vt:lpstr>Morango do amor</vt:lpstr>
      <vt:lpstr>Recheio trufa tradicional (2)</vt:lpstr>
      <vt:lpstr>Brigadeiro ninho</vt:lpstr>
      <vt:lpstr>Brigadeiro Recheio</vt:lpstr>
      <vt:lpstr>Recheio trufa Rafaelo</vt:lpstr>
      <vt:lpstr>Recheio trufa tradicional</vt:lpstr>
      <vt:lpstr>Trufa pistache</vt:lpstr>
      <vt:lpstr>Geleia frutas vermelhas</vt:lpstr>
      <vt:lpstr>Recheio de Abacaxi</vt:lpstr>
      <vt:lpstr>barra 180g</vt:lpstr>
      <vt:lpstr>Mini Chocot</vt:lpstr>
      <vt:lpstr>Chocot G (2)</vt:lpstr>
      <vt:lpstr>cookie</vt:lpstr>
      <vt:lpstr>Massa Brownie</vt:lpstr>
      <vt:lpstr>Panettone</vt:lpstr>
      <vt:lpstr>bolo de cenoura</vt:lpstr>
      <vt:lpstr>Massa Pão de Mel</vt:lpstr>
      <vt:lpstr>Cupcake</vt:lpstr>
      <vt:lpstr>produto M.CC.</vt:lpstr>
      <vt:lpstr>produto M.MK.</vt:lpstr>
      <vt:lpstr>Instruções</vt:lpstr>
      <vt:lpstr>Custos</vt:lpstr>
      <vt:lpstr>Gráfico1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reynaldo peixoto</dc:creator>
  <cp:keywords/>
  <dc:description/>
  <cp:lastModifiedBy>Vanessa Pontes</cp:lastModifiedBy>
  <cp:revision/>
  <dcterms:created xsi:type="dcterms:W3CDTF">2021-09-07T14:54:45Z</dcterms:created>
  <dcterms:modified xsi:type="dcterms:W3CDTF">2025-11-17T13:29:14Z</dcterms:modified>
  <cp:category/>
  <cp:contentStatus/>
</cp:coreProperties>
</file>